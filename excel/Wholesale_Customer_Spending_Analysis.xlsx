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78dd6efc3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b62a98883234203"/>
    <x:sheet xmlns:r="http://schemas.openxmlformats.org/officeDocument/2006/relationships" name="Clean Data" sheetId="2" r:id="Rd87c738b774e45a6"/>
    <x:sheet xmlns:r="http://schemas.openxmlformats.org/officeDocument/2006/relationships" name="Raw Data" sheetId="3" r:id="R9b21c29684e049e9"/>
    <x:sheet xmlns:r="http://schemas.openxmlformats.org/officeDocument/2006/relationships" name="Lookups &amp; Notes" sheetId="4" r:id="Rcd9e9539192b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1"/>
      <x:color rgb="FF17324D"/>
      <x:name val="Carlito"/>
    </x:font>
    <x:font>
      <x:i/>
      <x:sz val="10"/>
      <x:color rgb="FF667085"/>
      <x:name val="Carlito"/>
    </x:font>
    <x:font>
      <x:b/>
      <x:sz val="10"/>
      <x:color rgb="FF667085"/>
      <x:name val="Carlito"/>
    </x:font>
    <x:font>
      <x:b/>
      <x:sz val="20"/>
      <x:color rgb="FF17324D"/>
      <x:name val="Carlito"/>
    </x:font>
    <x:font>
      <x:i/>
      <x:sz val="9"/>
      <x:color rgb="FF667085"/>
      <x:name val="Carlito"/>
    </x:font>
    <x:font>
      <x:i/>
      <x:sz val="10"/>
      <x:color rgb="FF667085"/>
      <x:name val="Aptos"/>
    </x:font>
    <x:font>
      <x:b/>
      <x:sz val="10"/>
      <x:color rgb="FF17324D"/>
      <x:name val="Aptos"/>
    </x:font>
    <x:font>
      <x:b/>
      <x:sz val="10"/>
      <x:color rgb="FF66708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18">
    <x:border/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left style="thin">
        <x:color rgb="FF2F75B5"/>
      </x:left>
      <x:top style="thin">
        <x:color rgb="FF2F75B5"/>
      </x:top>
      <x:bottom style="thin">
        <x:color rgb="FF2F75B5"/>
      </x:bottom>
    </x:border>
    <x:border>
      <x:top style="thin">
        <x:color rgb="FF2F75B5"/>
      </x:top>
      <x:bottom style="thin">
        <x:color rgb="FF2F75B5"/>
      </x:bottom>
    </x:border>
    <x:border>
      <x:right style="thin">
        <x:color rgb="FF2F75B5"/>
      </x:right>
      <x:top style="thin">
        <x:color rgb="FF2F75B5"/>
      </x:top>
      <x:bottom style="thin">
        <x:color rgb="FF2F75B5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2" fillId="2" borderId="7" xfId="0" applyNumberFormat="1" applyFont="1" applyFill="1" applyBorder="1" applyAlignment="1">
      <x:alignment horizontal="center"/>
    </x:xf>
    <x:xf numFmtId="0" fontId="2" fillId="2" borderId="8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3" borderId="12" xfId="0" applyNumberFormat="1" applyFont="1" applyFill="1" applyBorder="1" applyAlignment="1">
      <x:alignment horizontal="center" vertical="center"/>
    </x:xf>
    <x:xf numFmtId="0" fontId="0" fillId="3" borderId="1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 applyAlignment="1">
      <x:alignment horizontal="center" vertical="center"/>
    </x:xf>
    <x:xf numFmtId="0" fontId="0" fillId="3" borderId="15" xfId="0" applyNumberFormat="1" applyFont="1" applyFill="1" applyBorder="1" applyAlignment="1">
      <x:alignment horizontal="center" vertical="center"/>
    </x:xf>
    <x:xf numFmtId="0" fontId="0" fillId="3" borderId="16" xfId="0" applyNumberFormat="1" applyFont="1" applyFill="1" applyBorder="1" applyAlignment="1">
      <x:alignment horizontal="center" vertical="center"/>
    </x:xf>
    <x:xf numFmtId="0" fontId="0" fillId="3" borderId="17" xfId="0" applyNumberFormat="1" applyFont="1" applyFill="1" applyBorder="1" applyAlignment="1">
      <x:alignment horizontal="center" vertical="center"/>
    </x:xf>
    <x:xf numFmtId="0" fontId="7" fillId="3" borderId="10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0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12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0" fontId="0" fillId="6" borderId="14" xfId="0" applyNumberFormat="1" applyFont="1" applyFill="1" applyBorder="1" applyAlignment="1">
      <x:alignment horizontal="center"/>
    </x:xf>
    <x:xf numFmtId="0" fontId="0" fillId="6" borderId="15" xfId="0" applyNumberFormat="1" applyFont="1" applyFill="1" applyBorder="1" applyAlignment="1">
      <x:alignment horizontal="center"/>
    </x:xf>
    <x:xf numFmtId="0" fontId="0" fillId="6" borderId="16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 applyAlignment="1">
      <x:alignment horizontal="center" vertical="center"/>
    </x:xf>
    <x:xf numFmtId="0" fontId="0" fillId="6" borderId="1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14" xfId="0" applyNumberFormat="1" applyFont="1" applyFill="1" applyBorder="1" applyAlignment="1">
      <x:alignment horizontal="center" vertical="center"/>
    </x:xf>
    <x:xf numFmtId="0" fontId="0" fillId="6" borderId="15" xfId="0" applyNumberFormat="1" applyFont="1" applyFill="1" applyBorder="1" applyAlignment="1">
      <x:alignment horizontal="center" vertical="center"/>
    </x:xf>
    <x:xf numFmtId="0" fontId="0" fillId="6" borderId="16" xfId="0" applyNumberFormat="1" applyFont="1" applyFill="1" applyBorder="1" applyAlignment="1">
      <x:alignment horizontal="center" vertical="center"/>
    </x:xf>
    <x:xf numFmtId="0" fontId="0" fillId="6" borderId="17" xfId="0" applyNumberFormat="1" applyFont="1" applyFill="1" applyBorder="1" applyAlignment="1">
      <x:alignment horizontal="center" vertic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8" fillId="6" borderId="13" xfId="0" applyNumberFormat="1" applyFont="1" applyFill="1" applyBorder="1" applyAlignment="1">
      <x:alignment horizontal="center" vertical="center"/>
    </x:xf>
    <x:xf numFmtId="200" fontId="8" fillId="3" borderId="13" xfId="0" applyNumberFormat="1" applyFont="1" applyFill="1" applyBorder="1" applyAlignment="1">
      <x:alignment horizontal="center" vertical="center"/>
    </x:xf>
    <x:xf numFmtId="200" fontId="8" fillId="6" borderId="13" xfId="0" applyNumberFormat="1" applyFont="1" applyFill="1" applyBorder="1" applyAlignment="1">
      <x:alignment horizontal="center" vertical="center"/>
    </x:xf>
    <x:xf numFmtId="200" fontId="0" fillId="6" borderId="0" xfId="0" applyNumberFormat="1" applyFont="1" applyFill="1" applyBorder="1" applyAlignment="1">
      <x:alignment horizontal="center" vertical="center"/>
    </x:xf>
    <x:xf numFmtId="200" fontId="0" fillId="6" borderId="14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center" vertical="center"/>
    </x:xf>
    <x:xf numFmtId="200" fontId="0" fillId="3" borderId="14" xfId="0" applyNumberFormat="1" applyFont="1" applyFill="1" applyBorder="1" applyAlignment="1">
      <x:alignment horizontal="center" vertical="center"/>
    </x:xf>
    <x:xf numFmtId="202" fontId="8" fillId="6" borderId="1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7" borderId="2" xfId="0" applyNumberFormat="1" applyFont="1" applyFill="1" applyBorder="1"/>
    <x:xf numFmtId="200" fontId="0" fillId="7" borderId="2" xfId="0" applyNumberFormat="1" applyFont="1" applyFill="1" applyBorder="1"/>
    <x:xf numFmtId="0" fontId="0" fillId="7" borderId="3" xfId="0" applyNumberFormat="1" applyFont="1" applyFill="1" applyBorder="1"/>
    <x:xf numFmtId="200" fontId="0" fillId="7" borderId="3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7" xfId="0" applyNumberFormat="1" applyFont="1" applyFill="1" applyBorder="1" applyAlignment="1">
      <x:alignment horizontal="center"/>
    </x:xf>
    <x:xf numFmtId="0" fontId="3" fillId="2" borderId="8" xfId="0" applyNumberFormat="1" applyFont="1" applyFill="1" applyBorder="1" applyAlignment="1">
      <x:alignment horizontal="center"/>
    </x:xf>
    <x:xf numFmtId="0" fontId="11" fillId="4" borderId="8" xfId="0" applyNumberFormat="1" applyFont="1" applyFill="1" applyBorder="1" applyAlignment="1">
      <x:alignment horizontal="center"/>
    </x:xf>
    <x:xf numFmtId="0" fontId="11" fillId="4" borderId="9" xfId="0" applyNumberFormat="1" applyFont="1" applyFill="1" applyBorder="1" applyAlignment="1">
      <x:alignment horizontal="center"/>
    </x:xf>
    <x:xf numFmtId="0" fontId="12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12" fillId="6" borderId="10" xfId="0" applyNumberFormat="1" applyFont="1" applyFill="1" applyBorder="1" applyAlignment="1">
      <x:alignment horizontal="center" vertical="center"/>
    </x:xf>
    <x:xf numFmtId="0" fontId="4" fillId="6" borderId="11" xfId="0" applyNumberFormat="1" applyFont="1" applyFill="1" applyBorder="1" applyAlignment="1">
      <x:alignment horizontal="center" vertical="center"/>
    </x:xf>
    <x:xf numFmtId="0" fontId="4" fillId="6" borderId="12" xfId="0" applyNumberFormat="1" applyFont="1" applyFill="1" applyBorder="1" applyAlignment="1">
      <x:alignment horizontal="center" vertical="center"/>
    </x:xf>
    <x:xf numFmtId="200" fontId="11" fillId="3" borderId="13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4" xfId="0" applyNumberFormat="1" applyFont="1" applyFill="1" applyBorder="1" applyAlignment="1">
      <x:alignment horizontal="center" vertical="center"/>
    </x:xf>
    <x:xf numFmtId="200" fontId="11" fillId="6" borderId="13" xfId="0" applyNumberFormat="1" applyFont="1" applyFill="1" applyBorder="1" applyAlignment="1">
      <x:alignment horizontal="center" vertical="center"/>
    </x:xf>
    <x:xf numFmtId="200" fontId="4" fillId="6" borderId="0" xfId="0" applyNumberFormat="1" applyFont="1" applyFill="1" applyBorder="1" applyAlignment="1">
      <x:alignment horizontal="center" vertical="center"/>
    </x:xf>
    <x:xf numFmtId="200" fontId="4" fillId="6" borderId="14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14" xfId="0" applyNumberFormat="1" applyFont="1" applyFill="1" applyBorder="1" applyAlignment="1">
      <x:alignment horizontal="center" vertical="center"/>
    </x:xf>
    <x:xf numFmtId="202" fontId="11" fillId="6" borderId="13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4" xfId="0" applyNumberFormat="1" applyFont="1" applyFill="1" applyBorder="1" applyAlignment="1">
      <x:alignment horizontal="center" vertical="center"/>
    </x:xf>
    <x:xf numFmtId="0" fontId="4" fillId="3" borderId="13" xfId="0" applyNumberFormat="1" applyFont="1" applyFill="1" applyBorder="1" applyAlignment="1">
      <x:alignment horizontal="center" vertical="center"/>
    </x:xf>
    <x:xf numFmtId="0" fontId="4" fillId="6" borderId="13" xfId="0" applyNumberFormat="1" applyFont="1" applyFill="1" applyBorder="1" applyAlignment="1">
      <x:alignment horizontal="center" vertical="center"/>
    </x:xf>
    <x:xf numFmtId="0" fontId="4" fillId="3" borderId="15" xfId="0" applyNumberFormat="1" applyFont="1" applyFill="1" applyBorder="1" applyAlignment="1">
      <x:alignment horizontal="center" vertical="center"/>
    </x:xf>
    <x:xf numFmtId="0" fontId="4" fillId="3" borderId="16" xfId="0" applyNumberFormat="1" applyFont="1" applyFill="1" applyBorder="1" applyAlignment="1">
      <x:alignment horizontal="center" vertical="center"/>
    </x:xf>
    <x:xf numFmtId="0" fontId="4" fillId="3" borderId="17" xfId="0" applyNumberFormat="1" applyFont="1" applyFill="1" applyBorder="1" applyAlignment="1">
      <x:alignment horizontal="center" vertical="center"/>
    </x:xf>
    <x:xf numFmtId="0" fontId="4" fillId="6" borderId="15" xfId="0" applyNumberFormat="1" applyFont="1" applyFill="1" applyBorder="1" applyAlignment="1">
      <x:alignment horizontal="center" vertical="center"/>
    </x:xf>
    <x:xf numFmtId="0" fontId="4" fillId="6" borderId="16" xfId="0" applyNumberFormat="1" applyFont="1" applyFill="1" applyBorder="1" applyAlignment="1">
      <x:alignment horizontal="center" vertical="center"/>
    </x:xf>
    <x:xf numFmtId="0" fontId="4" fillId="6" borderId="17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/>
    <x:xf numFmtId="200" fontId="4" fillId="7" borderId="2" xfId="0" applyNumberFormat="1" applyFont="1" applyFill="1" applyBorder="1"/>
    <x:xf numFmtId="0" fontId="4" fillId="7" borderId="3" xfId="0" applyNumberFormat="1" applyFont="1" applyFill="1" applyBorder="1"/>
    <x:xf numFmtId="200" fontId="4" fillId="7" borderId="3" xfId="0" applyNumberFormat="1" applyFont="1" applyFill="1" applyBorder="1"/>
  </x:cellXfs>
  <x:cellStyles count="1">
    <x:cellStyle name="Normal" xfId="0"/>
  </x:cellStyles>
  <x:dxfs count="1">
    <x:dxf>
      <x:font>
        <x:b/>
        <x:color rgb="FF2E7D6E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11ce54cf64397" /><Relationship Type="http://schemas.openxmlformats.org/officeDocument/2006/relationships/theme" Target="/xl/theme/theme1.xml" Id="Rc5d63af8676a4cbb" /><Relationship Type="http://schemas.openxmlformats.org/officeDocument/2006/relationships/sharedStrings" Target="/xl/sharedStrings.xml" Id="Rdbdbba61f3174cc4" /><Relationship Type="http://schemas.openxmlformats.org/officeDocument/2006/relationships/worksheet" Target="/xl/worksheets/sheet1.xml" Id="Rdb62a98883234203" /><Relationship Type="http://schemas.openxmlformats.org/officeDocument/2006/relationships/worksheet" Target="/xl/worksheets/sheet2.xml" Id="Rd87c738b774e45a6" /><Relationship Type="http://schemas.openxmlformats.org/officeDocument/2006/relationships/worksheet" Target="/xl/worksheets/sheet3.xml" Id="R9b21c29684e049e9" /><Relationship Type="http://schemas.openxmlformats.org/officeDocument/2006/relationships/worksheet" Target="/xl/worksheets/sheet4.xml" Id="Rcd9e9539192b4e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4bfd5a72ed4a50" /><Relationship Type="http://schemas.openxmlformats.org/officeDocument/2006/relationships/chart" Target="/xl/drawings/charts/chart2.xml" Id="R253ac01a96c84e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Spend by Category (m.u.)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Annual Spend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'Dashboard'!$B$14:$B$19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Mix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Customers</c:v>
          </c:tx>
          <c:cat>
            <c:strRef>
              <c:f>'Dashboard'!$D$14:$D$16</c:f>
              <c:strCache>
                <c:ptCount val="0"/>
              </c:strCache>
            </c:strRef>
          </c:cat>
          <c:val>
            <c:numRef>
              <c:f>'Dashboard'!$E$14:$E$16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4bfd5a72ed4a50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3ac01a96c84e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leanCustomersTable" displayName="CleanCustomersTable" ref="A2:N442" headerRowCount="1" totalsRowCount="0" totalsRowShown="0">
  <x:tableColumns count="14">
    <x:tableColumn id="1" name="Customer ID"/>
    <x:tableColumn id="2" name="Channel Code"/>
    <x:tableColumn id="3" name="Region Code"/>
    <x:tableColumn id="4" name="Fresh"/>
    <x:tableColumn id="5" name="Milk"/>
    <x:tableColumn id="6" name="Grocery"/>
    <x:tableColumn id="7" name="Frozen"/>
    <x:tableColumn id="8" name="Detergents &amp; Paper"/>
    <x:tableColumn id="9" name="Delicatessen"/>
    <x:tableColumn id="10" name="Channel"/>
    <x:tableColumn id="11" name="Region"/>
    <x:tableColumn id="12" name="Total Spend"/>
    <x:tableColumn id="13" name="Grocery Share"/>
    <x:tableColumn id="14" name="Value Ba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awCustomersTable" displayName="RawCustomersTable" ref="A2:H442" headerRowCount="1" totalsRowCount="0" totalsRowShown="0">
  <x:tableColumns count="8">
    <x:tableColumn id="1" name="Channel"/>
    <x:tableColumn id="2" name="Region"/>
    <x:tableColumn id="3" name="Fresh"/>
    <x:tableColumn id="4" name="Milk"/>
    <x:tableColumn id="5" name="Grocery"/>
    <x:tableColumn id="6" name="Frozen"/>
    <x:tableColumn id="7" name="Detergents_Paper"/>
    <x:tableColumn id="8" name="Delicass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1b0ad97a434e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01f71e8d71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89e536406f4c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4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12" t="str">
        <x:v>Wholesale Customer Spending Dashboard</x:v>
      </x:c>
      <x:c r="B1" s="12" t="str">
        <x:v>Wholesale Customer Spending Dashboard</x:v>
      </x:c>
      <x:c r="C1" s="12" t="str">
        <x:v>Wholesale Customer Spending Dashboard</x:v>
      </x:c>
      <x:c r="D1" s="12" t="str">
        <x:v>Wholesale Customer Spending Dashboard</x:v>
      </x:c>
      <x:c r="E1" s="12" t="str">
        <x:v>Wholesale Customer Spending Dashboard</x:v>
      </x:c>
      <x:c r="F1" s="12" t="str">
        <x:v>Wholesale Customer Spending Dashboard</x:v>
      </x:c>
      <x:c r="G1" s="12" t="str">
        <x:v>Wholesale Customer Spending Dashboard</x:v>
      </x:c>
      <x:c r="H1" s="12" t="str">
        <x:v>Wholesale Customer Spending Dashboard</x:v>
      </x:c>
      <x:c r="I1" s="12" t="str">
        <x:v>Wholesale Customer Spending Dashboard</x:v>
      </x:c>
      <x:c r="J1" s="12" t="str">
        <x:v>Wholesale Customer Spending Dashboard</x:v>
      </x:c>
      <x:c r="K1" s="12" t="str">
        <x:v>Wholesale Customer Spending Dashboard</x:v>
      </x:c>
      <x:c r="L1" s="12" t="str">
        <x:v>Wholesale Customer Spending Dashboard</x:v>
      </x:c>
    </x:row>
    <x:row r="2">
      <x:c r="A2" s="125" t="str">
        <x:v>Entry-level Excel portfolio project | 440 real customer records | UCI Machine Learning Repository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</x:row>
    <x:row r="3">
      <x:c r="A3" s="126"/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</x:row>
    <x:row r="4">
      <x:c r="A4" s="127" t="str">
        <x:v>Channel filter</x:v>
      </x:c>
      <x:c r="B4" s="128"/>
      <x:c r="C4" s="129" t="str">
        <x:v>All</x:v>
      </x:c>
      <x:c r="D4" s="130"/>
      <x:c r="E4" s="126"/>
      <x:c r="F4" s="126"/>
      <x:c r="G4" s="126"/>
      <x:c r="H4" s="126"/>
      <x:c r="I4" s="126"/>
      <x:c r="J4" s="126"/>
      <x:c r="K4" s="126"/>
      <x:c r="L4" s="126"/>
    </x:row>
    <x:row r="5">
      <x:c r="A5" s="126"/>
      <x:c r="B5" s="126"/>
      <x:c r="C5" s="126"/>
      <x:c r="D5" s="126"/>
      <x:c r="E5" s="126"/>
      <x:c r="F5" s="126"/>
      <x:c r="G5" s="126"/>
      <x:c r="H5" s="126"/>
      <x:c r="I5" s="126"/>
      <x:c r="J5" s="126"/>
      <x:c r="K5" s="126"/>
      <x:c r="L5" s="126"/>
    </x:row>
    <x:row r="6">
      <x:c r="A6" s="131" t="str">
        <x:v>Customers</x:v>
      </x:c>
      <x:c r="B6" s="132"/>
      <x:c r="C6" s="133"/>
      <x:c r="D6" s="134" t="str">
        <x:v>Total Annual Spend</x:v>
      </x:c>
      <x:c r="E6" s="135"/>
      <x:c r="F6" s="136"/>
      <x:c r="G6" s="131" t="str">
        <x:v>Average Spend / Customer</x:v>
      </x:c>
      <x:c r="H6" s="132"/>
      <x:c r="I6" s="133"/>
      <x:c r="J6" s="134" t="str">
        <x:v>High-Value Customers</x:v>
      </x:c>
      <x:c r="K6" s="135"/>
      <x:c r="L6" s="136"/>
    </x:row>
    <x:row r="7">
      <x:c r="A7" s="137" t="n">
        <x:f>IF($C$4="All",COUNT('Clean Data'!$L$3:$L$442),COUNTIF('Clean Data'!$J$3:$J$442,$C$4))</x:f>
        <x:v>440</x:v>
      </x:c>
      <x:c r="B7" s="138"/>
      <x:c r="C7" s="139"/>
      <x:c r="D7" s="140" t="n">
        <x:f>IF($C$4="All",SUM('Clean Data'!$L$3:$L$442),SUMIF('Clean Data'!$J$3:$J$442,$C$4,'Clean Data'!$L$3:$L$442))</x:f>
        <x:v>14619500</x:v>
      </x:c>
      <x:c r="E7" s="141"/>
      <x:c r="F7" s="142"/>
      <x:c r="G7" s="137" t="n">
        <x:f>IFERROR(D7/A7,0)</x:f>
        <x:v>33226.13636363636</x:v>
      </x:c>
      <x:c r="H7" s="143"/>
      <x:c r="I7" s="144"/>
      <x:c r="J7" s="145" t="n">
        <x:f>IF($C$4="All",COUNTIF('Clean Data'!$N$3:$N$442,"High Value")/A7,COUNTIFS('Clean Data'!$J$3:$J$442,$C$4,'Clean Data'!$N$3:$N$442,"High Value")/A7)</x:f>
        <x:v>0.5</x:v>
      </x:c>
      <x:c r="K7" s="146"/>
      <x:c r="L7" s="147"/>
    </x:row>
    <x:row r="8">
      <x:c r="A8" s="148"/>
      <x:c r="B8" s="138"/>
      <x:c r="C8" s="139"/>
      <x:c r="D8" s="149"/>
      <x:c r="E8" s="146"/>
      <x:c r="F8" s="147"/>
      <x:c r="G8" s="148"/>
      <x:c r="H8" s="138"/>
      <x:c r="I8" s="139"/>
      <x:c r="J8" s="149"/>
      <x:c r="K8" s="146"/>
      <x:c r="L8" s="147"/>
    </x:row>
    <x:row r="9">
      <x:c r="A9" s="150"/>
      <x:c r="B9" s="151"/>
      <x:c r="C9" s="152"/>
      <x:c r="D9" s="153"/>
      <x:c r="E9" s="154"/>
      <x:c r="F9" s="155"/>
      <x:c r="G9" s="150"/>
      <x:c r="H9" s="151"/>
      <x:c r="I9" s="152"/>
      <x:c r="J9" s="153"/>
      <x:c r="K9" s="154"/>
      <x:c r="L9" s="155"/>
    </x:row>
    <x:row r="10">
      <x:c r="A10" s="126"/>
      <x:c r="B10" s="126"/>
      <x:c r="C10" s="126"/>
      <x:c r="D10" s="126"/>
      <x:c r="E10" s="126"/>
      <x:c r="F10" s="126"/>
      <x:c r="G10" s="126"/>
      <x:c r="H10" s="126"/>
      <x:c r="I10" s="126"/>
      <x:c r="J10" s="126"/>
      <x:c r="K10" s="126"/>
      <x:c r="L10" s="126"/>
    </x:row>
    <x:row r="11">
      <x:c r="A11" s="126"/>
      <x:c r="B11" s="126"/>
      <x:c r="C11" s="126"/>
      <x:c r="D11" s="126"/>
      <x:c r="E11" s="126"/>
      <x:c r="F11" s="126"/>
      <x:c r="G11" s="126"/>
      <x:c r="H11" s="126"/>
      <x:c r="I11" s="126"/>
      <x:c r="J11" s="126"/>
      <x:c r="K11" s="126"/>
      <x:c r="L11" s="126"/>
    </x:row>
    <x:row r="12" ht="24" customHeight="1">
      <x:c r="A12" s="156" t="str">
        <x:v>Spend by Category</x:v>
      </x:c>
      <x:c r="B12" s="157"/>
      <x:c r="C12" s="158"/>
      <x:c r="D12" s="156" t="str">
        <x:v>Regional Summary</x:v>
      </x:c>
      <x:c r="E12" s="157"/>
      <x:c r="F12" s="158"/>
      <x:c r="G12" s="126"/>
      <x:c r="H12" s="156" t="str">
        <x:v>Top 5 Customers by Total Spend</x:v>
      </x:c>
      <x:c r="I12" s="157"/>
      <x:c r="J12" s="157"/>
      <x:c r="K12" s="157"/>
      <x:c r="L12" s="158"/>
    </x:row>
    <x:row r="13" ht="30" customHeight="1">
      <x:c r="A13" s="13" t="str">
        <x:v>Category</x:v>
      </x:c>
      <x:c r="B13" s="13" t="str">
        <x:v>Annual Spend</x:v>
      </x:c>
      <x:c r="C13" s="126"/>
      <x:c r="D13" s="13" t="str">
        <x:v>Region</x:v>
      </x:c>
      <x:c r="E13" s="13" t="str">
        <x:v>Customers</x:v>
      </x:c>
      <x:c r="F13" s="13" t="str">
        <x:v>Average Spend</x:v>
      </x:c>
      <x:c r="G13" s="126"/>
      <x:c r="H13" s="13" t="str">
        <x:v>Customer</x:v>
      </x:c>
      <x:c r="I13" s="13" t="str">
        <x:v>Channel</x:v>
      </x:c>
      <x:c r="J13" s="13" t="str">
        <x:v>Total Spend</x:v>
      </x:c>
      <x:c r="K13" s="126"/>
      <x:c r="L13" s="126"/>
    </x:row>
    <x:row r="14">
      <x:c r="A14" s="159" t="str">
        <x:v>Fresh</x:v>
      </x:c>
      <x:c r="B14" s="160" t="n">
        <x:f>IF($C$4="All",SUM('Clean Data'!$D$3:$D$442),SUMIF('Clean Data'!$J$3:$J$442,$C$4,'Clean Data'!$D$3:$D$442))</x:f>
        <x:v>5280131</x:v>
      </x:c>
      <x:c r="C14" s="126"/>
      <x:c r="D14" s="159" t="str">
        <x:v>Lisbon</x:v>
      </x:c>
      <x:c r="E14" s="160" t="n">
        <x:f>IF($C$4="All",COUNTIF('Clean Data'!$K$3:$K$442,D14),COUNTIFS('Clean Data'!$K$3:$K$442,D14,'Clean Data'!$J$3:$J$442,$C$4))</x:f>
        <x:v>77</x:v>
      </x:c>
      <x:c r="F14" s="160" t="n">
        <x:f>IFERROR(IF($C$4="All",AVERAGEIF('Clean Data'!$K$3:$K$442,D14,'Clean Data'!$L$3:$L$442),AVERAGEIFS('Clean Data'!$L$3:$L$442,'Clean Data'!$K$3:$K$442,D14,'Clean Data'!$J$3:$J$442,$C$4)),0)</x:f>
        <x:v>30997.571428571428</x:v>
      </x:c>
      <x:c r="G14" s="126"/>
      <x:c r="H14" s="159" t="str">
        <x:f>INDEX('Clean Data'!$A$3:$A$442,MATCH(J14,'Clean Data'!$L$3:$L$442,0))</x:f>
        <x:v>CUST-086</x:v>
      </x:c>
      <x:c r="I14" s="159" t="str">
        <x:f>INDEX('Clean Data'!$J$3:$J$442,MATCH(J14,'Clean Data'!$L$3:$L$442,0))</x:f>
        <x:v>Retail</x:v>
      </x:c>
      <x:c r="J14" s="160" t="n">
        <x:f>LARGE('Clean Data'!$L$3:$L$442,1)</x:f>
        <x:v>199891</x:v>
      </x:c>
      <x:c r="K14" s="126"/>
      <x:c r="L14" s="126"/>
    </x:row>
    <x:row r="15">
      <x:c r="A15" s="159" t="str">
        <x:v>Milk</x:v>
      </x:c>
      <x:c r="B15" s="160" t="n">
        <x:f>IF($C$4="All",SUM('Clean Data'!$E$3:$E$442),SUMIF('Clean Data'!$J$3:$J$442,$C$4,'Clean Data'!$E$3:$E$442))</x:f>
        <x:v>2550357</x:v>
      </x:c>
      <x:c r="C15" s="126"/>
      <x:c r="D15" s="159" t="str">
        <x:v>Oporto</x:v>
      </x:c>
      <x:c r="E15" s="160" t="n">
        <x:f>IF($C$4="All",COUNTIF('Clean Data'!$K$3:$K$442,D15),COUNTIFS('Clean Data'!$K$3:$K$442,D15,'Clean Data'!$J$3:$J$442,$C$4))</x:f>
        <x:v>47</x:v>
      </x:c>
      <x:c r="F15" s="160" t="n">
        <x:f>IFERROR(IF($C$4="All",AVERAGEIF('Clean Data'!$K$3:$K$442,D15,'Clean Data'!$L$3:$L$442),AVERAGEIFS('Clean Data'!$L$3:$L$442,'Clean Data'!$K$3:$K$442,D15,'Clean Data'!$J$3:$J$442,$C$4)),0)</x:f>
        <x:v>33086.97872340425</x:v>
      </x:c>
      <x:c r="G15" s="126"/>
      <x:c r="H15" s="159" t="str">
        <x:f>INDEX('Clean Data'!$A$3:$A$442,MATCH(J15,'Clean Data'!$L$3:$L$442,0))</x:f>
        <x:v>CUST-048</x:v>
      </x:c>
      <x:c r="I15" s="159" t="str">
        <x:f>INDEX('Clean Data'!$J$3:$J$442,MATCH(J15,'Clean Data'!$L$3:$L$442,0))</x:f>
        <x:v>Retail</x:v>
      </x:c>
      <x:c r="J15" s="160" t="n">
        <x:f>LARGE('Clean Data'!$L$3:$L$442,2)</x:f>
        <x:v>192714</x:v>
      </x:c>
      <x:c r="K15" s="126"/>
      <x:c r="L15" s="126"/>
    </x:row>
    <x:row r="16">
      <x:c r="A16" s="159" t="str">
        <x:v>Grocery</x:v>
      </x:c>
      <x:c r="B16" s="160" t="n">
        <x:f>IF($C$4="All",SUM('Clean Data'!$F$3:$F$442),SUMIF('Clean Data'!$J$3:$J$442,$C$4,'Clean Data'!$F$3:$F$442))</x:f>
        <x:v>3498562</x:v>
      </x:c>
      <x:c r="C16" s="126"/>
      <x:c r="D16" s="161" t="str">
        <x:v>Other</x:v>
      </x:c>
      <x:c r="E16" s="162" t="n">
        <x:f>IF($C$4="All",COUNTIF('Clean Data'!$K$3:$K$442,D16),COUNTIFS('Clean Data'!$K$3:$K$442,D16,'Clean Data'!$J$3:$J$442,$C$4))</x:f>
        <x:v>316</x:v>
      </x:c>
      <x:c r="F16" s="162" t="n">
        <x:f>IFERROR(IF($C$4="All",AVERAGEIF('Clean Data'!$K$3:$K$442,D16,'Clean Data'!$L$3:$L$442),AVERAGEIFS('Clean Data'!$L$3:$L$442,'Clean Data'!$K$3:$K$442,D16,'Clean Data'!$J$3:$J$442,$C$4)),0)</x:f>
        <x:v>33789.870253164554</x:v>
      </x:c>
      <x:c r="G16" s="126"/>
      <x:c r="H16" s="159" t="str">
        <x:f>INDEX('Clean Data'!$A$3:$A$442,MATCH(J16,'Clean Data'!$L$3:$L$442,0))</x:f>
        <x:v>CUST-182</x:v>
      </x:c>
      <x:c r="I16" s="159" t="str">
        <x:f>INDEX('Clean Data'!$J$3:$J$442,MATCH(J16,'Clean Data'!$L$3:$L$442,0))</x:f>
        <x:v>Horeca</x:v>
      </x:c>
      <x:c r="J16" s="160" t="n">
        <x:f>LARGE('Clean Data'!$L$3:$L$442,3)</x:f>
        <x:v>190169</x:v>
      </x:c>
      <x:c r="K16" s="126"/>
      <x:c r="L16" s="126"/>
    </x:row>
    <x:row r="17">
      <x:c r="A17" s="159" t="str">
        <x:v>Frozen</x:v>
      </x:c>
      <x:c r="B17" s="160" t="n">
        <x:f>IF($C$4="All",SUM('Clean Data'!$G$3:$G$442),SUMIF('Clean Data'!$J$3:$J$442,$C$4,'Clean Data'!$G$3:$G$442))</x:f>
        <x:v>1351650</x:v>
      </x:c>
      <x:c r="C17" s="126"/>
      <x:c r="D17" s="126"/>
      <x:c r="E17" s="126"/>
      <x:c r="F17" s="126"/>
      <x:c r="G17" s="126"/>
      <x:c r="H17" s="159" t="str">
        <x:f>INDEX('Clean Data'!$A$3:$A$442,MATCH(J17,'Clean Data'!$L$3:$L$442,0))</x:f>
        <x:v>CUST-184</x:v>
      </x:c>
      <x:c r="I17" s="159" t="str">
        <x:f>INDEX('Clean Data'!$J$3:$J$442,MATCH(J17,'Clean Data'!$L$3:$L$442,0))</x:f>
        <x:v>Horeca</x:v>
      </x:c>
      <x:c r="J17" s="160" t="n">
        <x:f>LARGE('Clean Data'!$L$3:$L$442,4)</x:f>
        <x:v>185683</x:v>
      </x:c>
      <x:c r="K17" s="126"/>
      <x:c r="L17" s="126"/>
    </x:row>
    <x:row r="18">
      <x:c r="A18" s="159" t="str">
        <x:v>Detergents &amp; Paper</x:v>
      </x:c>
      <x:c r="B18" s="160" t="n">
        <x:f>IF($C$4="All",SUM('Clean Data'!$H$3:$H$442),SUMIF('Clean Data'!$J$3:$J$442,$C$4,'Clean Data'!$H$3:$H$442))</x:f>
        <x:v>1267857</x:v>
      </x:c>
      <x:c r="C18" s="126"/>
      <x:c r="D18" s="126"/>
      <x:c r="E18" s="126"/>
      <x:c r="F18" s="126"/>
      <x:c r="G18" s="126"/>
      <x:c r="H18" s="161" t="str">
        <x:f>INDEX('Clean Data'!$A$3:$A$442,MATCH(J18,'Clean Data'!$L$3:$L$442,0))</x:f>
        <x:v>CUST-062</x:v>
      </x:c>
      <x:c r="I18" s="161" t="str">
        <x:f>INDEX('Clean Data'!$J$3:$J$442,MATCH(J18,'Clean Data'!$L$3:$L$442,0))</x:f>
        <x:v>Retail</x:v>
      </x:c>
      <x:c r="J18" s="162" t="n">
        <x:f>LARGE('Clean Data'!$L$3:$L$442,5)</x:f>
        <x:v>165881</x:v>
      </x:c>
      <x:c r="K18" s="126"/>
      <x:c r="L18" s="126"/>
    </x:row>
    <x:row r="19">
      <x:c r="A19" s="161" t="str">
        <x:v>Delicatessen</x:v>
      </x:c>
      <x:c r="B19" s="162" t="n">
        <x:f>IF($C$4="All",SUM('Clean Data'!$I$3:$I$442),SUMIF('Clean Data'!$J$3:$J$442,$C$4,'Clean Data'!$I$3:$I$442))</x:f>
        <x:v>670943</x:v>
      </x:c>
      <x:c r="C19" s="126"/>
      <x:c r="D19" s="126"/>
      <x:c r="E19" s="126"/>
      <x:c r="F19" s="126"/>
      <x:c r="G19" s="126"/>
      <x:c r="H19" s="126"/>
      <x:c r="I19" s="126"/>
      <x:c r="J19" s="126"/>
      <x:c r="K19" s="126"/>
      <x:c r="L19" s="126"/>
    </x:row>
    <x:row r="20">
      <x:c r="A20" s="126"/>
      <x:c r="B20" s="126"/>
      <x:c r="C20" s="126"/>
      <x:c r="D20" s="126"/>
      <x:c r="E20" s="126"/>
      <x:c r="F20" s="126"/>
      <x:c r="G20" s="126"/>
      <x:c r="H20" s="126"/>
      <x:c r="I20" s="126"/>
      <x:c r="J20" s="126"/>
      <x:c r="K20" s="126"/>
      <x:c r="L20" s="126"/>
    </x:row>
    <x:row r="21">
      <x:c r="A21" s="126"/>
      <x:c r="B21" s="126"/>
      <x:c r="C21" s="126"/>
      <x:c r="D21" s="126"/>
      <x:c r="E21" s="126"/>
      <x:c r="F21" s="126"/>
      <x:c r="G21" s="126"/>
      <x:c r="H21" s="126"/>
      <x:c r="I21" s="126"/>
      <x:c r="J21" s="126"/>
      <x:c r="K21" s="126"/>
      <x:c r="L21" s="126"/>
    </x:row>
    <x:row r="22">
      <x:c r="A22" s="126"/>
      <x:c r="B22" s="126"/>
      <x:c r="C22" s="126"/>
      <x:c r="D22" s="126"/>
      <x:c r="E22" s="126"/>
      <x:c r="F22" s="126"/>
      <x:c r="G22" s="126"/>
      <x:c r="H22" s="126"/>
      <x:c r="I22" s="126"/>
      <x:c r="J22" s="126"/>
      <x:c r="K22" s="126"/>
      <x:c r="L22" s="126"/>
    </x:row>
    <x:row r="23">
      <x:c r="A23" s="126"/>
      <x:c r="B23" s="126"/>
      <x:c r="C23" s="126"/>
      <x:c r="D23" s="126"/>
      <x:c r="E23" s="126"/>
      <x:c r="F23" s="126"/>
      <x:c r="G23" s="126"/>
      <x:c r="H23" s="126"/>
      <x:c r="I23" s="126"/>
      <x:c r="J23" s="126"/>
      <x:c r="K23" s="126"/>
      <x:c r="L23" s="126"/>
    </x:row>
    <x:row r="24">
      <x:c r="A24" s="126"/>
      <x:c r="B24" s="126"/>
      <x:c r="C24" s="126"/>
      <x:c r="D24" s="126"/>
      <x:c r="E24" s="126"/>
      <x:c r="F24" s="126"/>
      <x:c r="G24" s="126"/>
      <x:c r="H24" s="126"/>
      <x:c r="I24" s="126"/>
      <x:c r="J24" s="126"/>
      <x:c r="K24" s="126"/>
      <x:c r="L24" s="126"/>
    </x:row>
    <x:row r="25">
      <x:c r="A25" s="126"/>
      <x:c r="B25" s="126"/>
      <x:c r="C25" s="126"/>
      <x:c r="D25" s="126"/>
      <x:c r="E25" s="126"/>
      <x:c r="F25" s="126"/>
      <x:c r="G25" s="126"/>
      <x:c r="H25" s="126"/>
      <x:c r="I25" s="126"/>
      <x:c r="J25" s="126"/>
      <x:c r="K25" s="126"/>
      <x:c r="L25" s="126"/>
    </x:row>
    <x:row r="26">
      <x:c r="A26" s="126"/>
      <x:c r="B26" s="126"/>
      <x:c r="C26" s="126"/>
      <x:c r="D26" s="126"/>
      <x:c r="E26" s="126"/>
      <x:c r="F26" s="126"/>
      <x:c r="G26" s="126"/>
      <x:c r="H26" s="126"/>
      <x:c r="I26" s="126"/>
      <x:c r="J26" s="126"/>
      <x:c r="K26" s="126"/>
      <x:c r="L26" s="126"/>
    </x:row>
    <x:row r="27">
      <x:c r="A27" s="126"/>
      <x:c r="B27" s="126"/>
      <x:c r="C27" s="126"/>
      <x:c r="D27" s="126"/>
      <x:c r="E27" s="126"/>
      <x:c r="F27" s="126"/>
      <x:c r="G27" s="126"/>
      <x:c r="H27" s="126"/>
      <x:c r="I27" s="126"/>
      <x:c r="J27" s="126"/>
      <x:c r="K27" s="126"/>
      <x:c r="L27" s="126"/>
    </x:row>
    <x:row r="28">
      <x:c r="A28" s="126"/>
      <x:c r="B28" s="126"/>
      <x:c r="C28" s="126"/>
      <x:c r="D28" s="126"/>
      <x:c r="E28" s="126"/>
      <x:c r="F28" s="126"/>
      <x:c r="G28" s="126"/>
      <x:c r="H28" s="126"/>
      <x:c r="I28" s="126"/>
      <x:c r="J28" s="126"/>
      <x:c r="K28" s="126"/>
      <x:c r="L28" s="126"/>
    </x:row>
    <x:row r="29">
      <x:c r="A29" s="126"/>
      <x:c r="B29" s="126"/>
      <x:c r="C29" s="126"/>
      <x:c r="D29" s="126"/>
      <x:c r="E29" s="126"/>
      <x:c r="F29" s="126"/>
      <x:c r="G29" s="126"/>
      <x:c r="H29" s="126"/>
      <x:c r="I29" s="126"/>
      <x:c r="J29" s="126"/>
      <x:c r="K29" s="126"/>
      <x:c r="L29" s="126"/>
    </x:row>
    <x:row r="30">
      <x:c r="A30" s="126"/>
      <x:c r="B30" s="126"/>
      <x:c r="C30" s="126"/>
      <x:c r="D30" s="126"/>
      <x:c r="E30" s="126"/>
      <x:c r="F30" s="126"/>
      <x:c r="G30" s="126"/>
      <x:c r="H30" s="126"/>
      <x:c r="I30" s="126"/>
      <x:c r="J30" s="126"/>
      <x:c r="K30" s="126"/>
      <x:c r="L30" s="126"/>
    </x:row>
    <x:row r="31">
      <x:c r="A31" s="126"/>
      <x:c r="B31" s="126"/>
      <x:c r="C31" s="126"/>
      <x:c r="D31" s="126"/>
      <x:c r="E31" s="126"/>
      <x:c r="F31" s="126"/>
      <x:c r="G31" s="126"/>
      <x:c r="H31" s="126"/>
      <x:c r="I31" s="126"/>
      <x:c r="J31" s="126"/>
      <x:c r="K31" s="126"/>
      <x:c r="L31" s="126"/>
    </x:row>
    <x:row r="32">
      <x:c r="A32" s="126"/>
      <x:c r="B32" s="126"/>
      <x:c r="C32" s="126"/>
      <x:c r="D32" s="126"/>
      <x:c r="E32" s="126"/>
      <x:c r="F32" s="126"/>
      <x:c r="G32" s="126"/>
      <x:c r="H32" s="126"/>
      <x:c r="I32" s="126"/>
      <x:c r="J32" s="126"/>
      <x:c r="K32" s="126"/>
      <x:c r="L32" s="126"/>
    </x:row>
    <x:row r="33">
      <x:c r="A33" s="126"/>
      <x:c r="B33" s="126"/>
      <x:c r="C33" s="126"/>
      <x:c r="D33" s="126"/>
      <x:c r="E33" s="126"/>
      <x:c r="F33" s="126"/>
      <x:c r="G33" s="126"/>
      <x:c r="H33" s="126"/>
      <x:c r="I33" s="126"/>
      <x:c r="J33" s="126"/>
      <x:c r="K33" s="126"/>
      <x:c r="L33" s="126"/>
    </x:row>
    <x:row r="34">
      <x:c r="A34" s="126"/>
      <x:c r="B34" s="126"/>
      <x:c r="C34" s="126"/>
      <x:c r="D34" s="126"/>
      <x:c r="E34" s="126"/>
      <x:c r="F34" s="126"/>
      <x:c r="G34" s="126"/>
      <x:c r="H34" s="126"/>
      <x:c r="I34" s="126"/>
      <x:c r="J34" s="126"/>
      <x:c r="K34" s="126"/>
      <x:c r="L34" s="126"/>
    </x:row>
    <x:row r="35">
      <x:c r="A35" s="126"/>
      <x:c r="B35" s="126"/>
      <x:c r="C35" s="126"/>
      <x:c r="D35" s="126"/>
      <x:c r="E35" s="126"/>
      <x:c r="F35" s="126"/>
      <x:c r="G35" s="126"/>
      <x:c r="H35" s="126"/>
      <x:c r="I35" s="126"/>
      <x:c r="J35" s="126"/>
      <x:c r="K35" s="126"/>
      <x:c r="L35" s="126"/>
    </x:row>
    <x:row r="36">
      <x:c r="A36" s="126"/>
      <x:c r="B36" s="126"/>
      <x:c r="C36" s="126"/>
      <x:c r="D36" s="126"/>
      <x:c r="E36" s="126"/>
      <x:c r="F36" s="126"/>
      <x:c r="G36" s="126"/>
      <x:c r="H36" s="126"/>
      <x:c r="I36" s="126"/>
      <x:c r="J36" s="126"/>
      <x:c r="K36" s="126"/>
      <x:c r="L36" s="126"/>
    </x:row>
    <x:row r="37">
      <x:c r="A37" s="126"/>
      <x:c r="B37" s="126"/>
      <x:c r="C37" s="126"/>
      <x:c r="D37" s="126"/>
      <x:c r="E37" s="126"/>
      <x:c r="F37" s="126"/>
      <x:c r="G37" s="126"/>
      <x:c r="H37" s="126"/>
      <x:c r="I37" s="126"/>
      <x:c r="J37" s="126"/>
      <x:c r="K37" s="126"/>
      <x:c r="L37" s="126"/>
    </x:row>
    <x:row r="38">
      <x:c r="A38" s="126"/>
      <x:c r="B38" s="126"/>
      <x:c r="C38" s="126"/>
      <x:c r="D38" s="126"/>
      <x:c r="E38" s="126"/>
      <x:c r="F38" s="126"/>
      <x:c r="G38" s="126"/>
      <x:c r="H38" s="126"/>
      <x:c r="I38" s="126"/>
      <x:c r="J38" s="126"/>
      <x:c r="K38" s="126"/>
      <x:c r="L38" s="126"/>
    </x:row>
    <x:row r="39">
      <x:c r="A39" s="126"/>
      <x:c r="B39" s="126"/>
      <x:c r="C39" s="126"/>
      <x:c r="D39" s="126"/>
      <x:c r="E39" s="126"/>
      <x:c r="F39" s="126"/>
      <x:c r="G39" s="126"/>
      <x:c r="H39" s="126"/>
      <x:c r="I39" s="126"/>
      <x:c r="J39" s="126"/>
      <x:c r="K39" s="126"/>
      <x:c r="L39" s="126"/>
    </x:row>
    <x:row r="40">
      <x:c r="A40" s="126"/>
      <x:c r="B40" s="126"/>
      <x:c r="C40" s="126"/>
      <x:c r="D40" s="126"/>
      <x:c r="E40" s="126"/>
      <x:c r="F40" s="126"/>
      <x:c r="G40" s="126"/>
      <x:c r="H40" s="126"/>
      <x:c r="I40" s="126"/>
      <x:c r="J40" s="126"/>
      <x:c r="K40" s="126"/>
      <x:c r="L40" s="126"/>
    </x:row>
    <x:row r="41">
      <x:c r="A41" s="125" t="str">
        <x:v>Source: UCI Wholesale customers dataset | https://archive.ics.uci.edu/dataset/292/wholesale%2Bcustomers | CC BY 4.0</x:v>
      </x:c>
      <x:c r="B41" s="126"/>
      <x:c r="C41" s="126"/>
      <x:c r="D41" s="126"/>
      <x:c r="E41" s="126"/>
      <x:c r="F41" s="126"/>
      <x:c r="G41" s="126"/>
      <x:c r="H41" s="126"/>
      <x:c r="I41" s="126"/>
      <x:c r="J41" s="126"/>
      <x:c r="K41" s="126"/>
      <x:c r="L41" s="126"/>
    </x:row>
  </x:sheetData>
  <x:mergeCells>
    <x:mergeCell ref="A1:L1"/>
    <x:mergeCell ref="A2:L2"/>
    <x:mergeCell ref="A4:B4"/>
    <x:mergeCell ref="C4:D4"/>
    <x:mergeCell ref="A6:C6"/>
    <x:mergeCell ref="A7:C9"/>
    <x:mergeCell ref="D6:F6"/>
    <x:mergeCell ref="D7:F9"/>
    <x:mergeCell ref="G6:I6"/>
    <x:mergeCell ref="G7:I9"/>
    <x:mergeCell ref="J6:L6"/>
    <x:mergeCell ref="J7:L9"/>
    <x:mergeCell ref="A12:C12"/>
    <x:mergeCell ref="D12:F12"/>
    <x:mergeCell ref="H12:L12"/>
    <x:mergeCell ref="A41:L41"/>
  </x:mergeCells>
  <x:dataValidations count="1">
    <x:dataValidation type="list" sqref="C4:D4">
      <x:formula1>"All,Horeca,Retail"</x:formula1>
    </x:dataValidation>
  </x:dataValidations>
  <x:pageMargins left="0.7" right="0.7" top="0.75" bottom="0.75" header="0.3" footer="0.3"/>
  <x:drawing xmlns:r="http://schemas.openxmlformats.org/officeDocument/2006/relationships" r:id="R281b0ad97a434e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  <x:col min="11" max="11" width="13" hidden="0" customWidth="1"/>
    <x:col min="12" max="12" width="17" hidden="0" customWidth="1"/>
    <x:col min="13" max="13" width="15" hidden="0" customWidth="1"/>
    <x:col min="14" max="14" width="15" hidden="0" customWidth="1"/>
  </x:cols>
  <x:sheetData>
    <x:row r="1" ht="34" customHeight="1">
      <x:c r="A1" s="3" t="str">
        <x:v>Clean Data — Formula-Driven Analysis Table</x:v>
      </x:c>
      <x:c r="B1" s="3" t="str">
        <x:v>Clean Data — Formula-Driven Analysis Table</x:v>
      </x:c>
      <x:c r="C1" s="3" t="str">
        <x:v>Clean Data — Formula-Driven Analysis Table</x:v>
      </x:c>
      <x:c r="D1" s="3" t="str">
        <x:v>Clean Data — Formula-Driven Analysis Table</x:v>
      </x:c>
      <x:c r="E1" s="3" t="str">
        <x:v>Clean Data — Formula-Driven Analysis Table</x:v>
      </x:c>
      <x:c r="F1" s="3" t="str">
        <x:v>Clean Data — Formula-Driven Analysis Table</x:v>
      </x:c>
      <x:c r="G1" s="3" t="str">
        <x:v>Clean Data — Formula-Driven Analysis Table</x:v>
      </x:c>
      <x:c r="H1" s="3" t="str">
        <x:v>Clean Data — Formula-Driven Analysis Table</x:v>
      </x:c>
      <x:c r="I1" s="3" t="str">
        <x:v>Clean Data — Formula-Driven Analysis Table</x:v>
      </x:c>
      <x:c r="J1" s="3" t="str">
        <x:v>Clean Data — Formula-Driven Analysis Table</x:v>
      </x:c>
      <x:c r="K1" s="3" t="str">
        <x:v>Clean Data — Formula-Driven Analysis Table</x:v>
      </x:c>
      <x:c r="L1" s="3" t="str">
        <x:v>Clean Data — Formula-Driven Analysis Table</x:v>
      </x:c>
      <x:c r="M1" s="3" t="str">
        <x:v>Clean Data — Formula-Driven Analysis Table</x:v>
      </x:c>
      <x:c r="N1" s="3" t="str">
        <x:v>Clean Data — Formula-Driven Analysis Table</x:v>
      </x:c>
    </x:row>
    <x:row r="2" ht="30" customHeight="1">
      <x:c r="A2" s="9" t="str">
        <x:v>Customer ID</x:v>
      </x:c>
      <x:c r="B2" s="9" t="str">
        <x:v>Channel Code</x:v>
      </x:c>
      <x:c r="C2" s="9" t="str">
        <x:v>Region Code</x:v>
      </x:c>
      <x:c r="D2" s="9" t="str">
        <x:v>Fresh</x:v>
      </x:c>
      <x:c r="E2" s="9" t="str">
        <x:v>Milk</x:v>
      </x:c>
      <x:c r="F2" s="9" t="str">
        <x:v>Grocery</x:v>
      </x:c>
      <x:c r="G2" s="9" t="str">
        <x:v>Frozen</x:v>
      </x:c>
      <x:c r="H2" s="9" t="str">
        <x:v>Detergents &amp; Paper</x:v>
      </x:c>
      <x:c r="I2" s="9" t="str">
        <x:v>Delicatessen</x:v>
      </x:c>
      <x:c r="J2" s="9" t="str">
        <x:v>Channel</x:v>
      </x:c>
      <x:c r="K2" s="9" t="str">
        <x:v>Region</x:v>
      </x:c>
      <x:c r="L2" s="9" t="str">
        <x:v>Total Spend</x:v>
      </x:c>
      <x:c r="M2" s="9" t="str">
        <x:v>Grocery Share</x:v>
      </x:c>
      <x:c r="N2" s="9" t="str">
        <x:v>Value Band</x:v>
      </x:c>
    </x:row>
    <x:row r="3">
      <x:c r="A3" s="38" t="str">
        <x:v>CUST-001</x:v>
      </x:c>
      <x:c r="B3" s="38" t="n">
        <x:f>'Raw Data'!A3</x:f>
        <x:v>2</x:v>
      </x:c>
      <x:c r="C3" s="38" t="n">
        <x:f>'Raw Data'!B3</x:f>
        <x:v>3</x:v>
      </x:c>
      <x:c r="D3" s="10" t="n">
        <x:f>'Raw Data'!C3</x:f>
        <x:v>12669</x:v>
      </x:c>
      <x:c r="E3" s="10" t="n">
        <x:f>'Raw Data'!D3</x:f>
        <x:v>9656</x:v>
      </x:c>
      <x:c r="F3" s="10" t="n">
        <x:f>'Raw Data'!E3</x:f>
        <x:v>7561</x:v>
      </x:c>
      <x:c r="G3" s="10" t="n">
        <x:f>'Raw Data'!F3</x:f>
        <x:v>214</x:v>
      </x:c>
      <x:c r="H3" s="10" t="n">
        <x:f>'Raw Data'!G3</x:f>
        <x:v>2674</x:v>
      </x:c>
      <x:c r="I3" s="10" t="n">
        <x:f>'Raw Data'!H3</x:f>
        <x:v>1338</x:v>
      </x:c>
      <x:c r="J3" s="10" t="str">
        <x:f>VLOOKUP(B3,'Lookups &amp; Notes'!$A$4:$B$5,2,FALSE)</x:f>
        <x:v>Retail</x:v>
      </x:c>
      <x:c r="K3" s="10" t="str">
        <x:f>VLOOKUP(C3,'Lookups &amp; Notes'!$A$8:$B$10,2,FALSE)</x:f>
        <x:v>Other</x:v>
      </x:c>
      <x:c r="L3" s="10" t="n">
        <x:f>SUM(D3:I3)</x:f>
        <x:v>34112</x:v>
      </x:c>
      <x:c r="M3" s="39" t="n">
        <x:f>IFERROR(F3/L3,0)</x:f>
        <x:v>0.22165220450281425</x:v>
      </x:c>
      <x:c r="N3" s="38" t="str">
        <x:f>IF(L3&gt;='Lookups &amp; Notes'!$E$4,"High Value","Standard")</x:f>
        <x:v>High Value</x:v>
      </x:c>
    </x:row>
    <x:row r="4">
      <x:c r="A4" s="38" t="str">
        <x:v>CUST-002</x:v>
      </x:c>
      <x:c r="B4" s="38" t="n">
        <x:f>'Raw Data'!A4</x:f>
        <x:v>2</x:v>
      </x:c>
      <x:c r="C4" s="38" t="n">
        <x:f>'Raw Data'!B4</x:f>
        <x:v>3</x:v>
      </x:c>
      <x:c r="D4" s="10" t="n">
        <x:f>'Raw Data'!C4</x:f>
        <x:v>7057</x:v>
      </x:c>
      <x:c r="E4" s="10" t="n">
        <x:f>'Raw Data'!D4</x:f>
        <x:v>9810</x:v>
      </x:c>
      <x:c r="F4" s="10" t="n">
        <x:f>'Raw Data'!E4</x:f>
        <x:v>9568</x:v>
      </x:c>
      <x:c r="G4" s="10" t="n">
        <x:f>'Raw Data'!F4</x:f>
        <x:v>1762</x:v>
      </x:c>
      <x:c r="H4" s="10" t="n">
        <x:f>'Raw Data'!G4</x:f>
        <x:v>3293</x:v>
      </x:c>
      <x:c r="I4" s="10" t="n">
        <x:f>'Raw Data'!H4</x:f>
        <x:v>1776</x:v>
      </x:c>
      <x:c r="J4" s="10" t="str">
        <x:f>VLOOKUP(B4,'Lookups &amp; Notes'!$A$4:$B$5,2,FALSE)</x:f>
        <x:v>Retail</x:v>
      </x:c>
      <x:c r="K4" s="10" t="str">
        <x:f>VLOOKUP(C4,'Lookups &amp; Notes'!$A$8:$B$10,2,FALSE)</x:f>
        <x:v>Other</x:v>
      </x:c>
      <x:c r="L4" s="10" t="n">
        <x:f>SUM(D4:I4)</x:f>
        <x:v>33266</x:v>
      </x:c>
      <x:c r="M4" s="39" t="n">
        <x:f>IFERROR(F4/L4,0)</x:f>
        <x:v>0.2876209944087056</x:v>
      </x:c>
      <x:c r="N4" s="38" t="str">
        <x:f>IF(L4&gt;='Lookups &amp; Notes'!$E$4,"High Value","Standard")</x:f>
        <x:v>High Value</x:v>
      </x:c>
    </x:row>
    <x:row r="5">
      <x:c r="A5" s="38" t="str">
        <x:v>CUST-003</x:v>
      </x:c>
      <x:c r="B5" s="38" t="n">
        <x:f>'Raw Data'!A5</x:f>
        <x:v>2</x:v>
      </x:c>
      <x:c r="C5" s="38" t="n">
        <x:f>'Raw Data'!B5</x:f>
        <x:v>3</x:v>
      </x:c>
      <x:c r="D5" s="10" t="n">
        <x:f>'Raw Data'!C5</x:f>
        <x:v>6353</x:v>
      </x:c>
      <x:c r="E5" s="10" t="n">
        <x:f>'Raw Data'!D5</x:f>
        <x:v>8808</x:v>
      </x:c>
      <x:c r="F5" s="10" t="n">
        <x:f>'Raw Data'!E5</x:f>
        <x:v>7684</x:v>
      </x:c>
      <x:c r="G5" s="10" t="n">
        <x:f>'Raw Data'!F5</x:f>
        <x:v>2405</x:v>
      </x:c>
      <x:c r="H5" s="10" t="n">
        <x:f>'Raw Data'!G5</x:f>
        <x:v>3516</x:v>
      </x:c>
      <x:c r="I5" s="10" t="n">
        <x:f>'Raw Data'!H5</x:f>
        <x:v>7844</x:v>
      </x:c>
      <x:c r="J5" s="10" t="str">
        <x:f>VLOOKUP(B5,'Lookups &amp; Notes'!$A$4:$B$5,2,FALSE)</x:f>
        <x:v>Retail</x:v>
      </x:c>
      <x:c r="K5" s="10" t="str">
        <x:f>VLOOKUP(C5,'Lookups &amp; Notes'!$A$8:$B$10,2,FALSE)</x:f>
        <x:v>Other</x:v>
      </x:c>
      <x:c r="L5" s="10" t="n">
        <x:f>SUM(D5:I5)</x:f>
        <x:v>36610</x:v>
      </x:c>
      <x:c r="M5" s="39" t="n">
        <x:f>IFERROR(F5/L5,0)</x:f>
        <x:v>0.2098880087407812</x:v>
      </x:c>
      <x:c r="N5" s="38" t="str">
        <x:f>IF(L5&gt;='Lookups &amp; Notes'!$E$4,"High Value","Standard")</x:f>
        <x:v>High Value</x:v>
      </x:c>
    </x:row>
    <x:row r="6">
      <x:c r="A6" s="38" t="str">
        <x:v>CUST-004</x:v>
      </x:c>
      <x:c r="B6" s="38" t="n">
        <x:f>'Raw Data'!A6</x:f>
        <x:v>1</x:v>
      </x:c>
      <x:c r="C6" s="38" t="n">
        <x:f>'Raw Data'!B6</x:f>
        <x:v>3</x:v>
      </x:c>
      <x:c r="D6" s="10" t="n">
        <x:f>'Raw Data'!C6</x:f>
        <x:v>13265</x:v>
      </x:c>
      <x:c r="E6" s="10" t="n">
        <x:f>'Raw Data'!D6</x:f>
        <x:v>1196</x:v>
      </x:c>
      <x:c r="F6" s="10" t="n">
        <x:f>'Raw Data'!E6</x:f>
        <x:v>4221</x:v>
      </x:c>
      <x:c r="G6" s="10" t="n">
        <x:f>'Raw Data'!F6</x:f>
        <x:v>6404</x:v>
      </x:c>
      <x:c r="H6" s="10" t="n">
        <x:f>'Raw Data'!G6</x:f>
        <x:v>507</x:v>
      </x:c>
      <x:c r="I6" s="10" t="n">
        <x:f>'Raw Data'!H6</x:f>
        <x:v>1788</x:v>
      </x:c>
      <x:c r="J6" s="10" t="str">
        <x:f>VLOOKUP(B6,'Lookups &amp; Notes'!$A$4:$B$5,2,FALSE)</x:f>
        <x:v>Horeca</x:v>
      </x:c>
      <x:c r="K6" s="10" t="str">
        <x:f>VLOOKUP(C6,'Lookups &amp; Notes'!$A$8:$B$10,2,FALSE)</x:f>
        <x:v>Other</x:v>
      </x:c>
      <x:c r="L6" s="10" t="n">
        <x:f>SUM(D6:I6)</x:f>
        <x:v>27381</x:v>
      </x:c>
      <x:c r="M6" s="39" t="n">
        <x:f>IFERROR(F6/L6,0)</x:f>
        <x:v>0.15415799276870823</x:v>
      </x:c>
      <x:c r="N6" s="38" t="str">
        <x:f>IF(L6&gt;='Lookups &amp; Notes'!$E$4,"High Value","Standard")</x:f>
        <x:v>Standard</x:v>
      </x:c>
    </x:row>
    <x:row r="7">
      <x:c r="A7" s="38" t="str">
        <x:v>CUST-005</x:v>
      </x:c>
      <x:c r="B7" s="38" t="n">
        <x:f>'Raw Data'!A7</x:f>
        <x:v>2</x:v>
      </x:c>
      <x:c r="C7" s="38" t="n">
        <x:f>'Raw Data'!B7</x:f>
        <x:v>3</x:v>
      </x:c>
      <x:c r="D7" s="10" t="n">
        <x:f>'Raw Data'!C7</x:f>
        <x:v>22615</x:v>
      </x:c>
      <x:c r="E7" s="10" t="n">
        <x:f>'Raw Data'!D7</x:f>
        <x:v>5410</x:v>
      </x:c>
      <x:c r="F7" s="10" t="n">
        <x:f>'Raw Data'!E7</x:f>
        <x:v>7198</x:v>
      </x:c>
      <x:c r="G7" s="10" t="n">
        <x:f>'Raw Data'!F7</x:f>
        <x:v>3915</x:v>
      </x:c>
      <x:c r="H7" s="10" t="n">
        <x:f>'Raw Data'!G7</x:f>
        <x:v>1777</x:v>
      </x:c>
      <x:c r="I7" s="10" t="n">
        <x:f>'Raw Data'!H7</x:f>
        <x:v>5185</x:v>
      </x:c>
      <x:c r="J7" s="10" t="str">
        <x:f>VLOOKUP(B7,'Lookups &amp; Notes'!$A$4:$B$5,2,FALSE)</x:f>
        <x:v>Retail</x:v>
      </x:c>
      <x:c r="K7" s="10" t="str">
        <x:f>VLOOKUP(C7,'Lookups &amp; Notes'!$A$8:$B$10,2,FALSE)</x:f>
        <x:v>Other</x:v>
      </x:c>
      <x:c r="L7" s="10" t="n">
        <x:f>SUM(D7:I7)</x:f>
        <x:v>46100</x:v>
      </x:c>
      <x:c r="M7" s="39" t="n">
        <x:f>IFERROR(F7/L7,0)</x:f>
        <x:v>0.15613882863340564</x:v>
      </x:c>
      <x:c r="N7" s="38" t="str">
        <x:f>IF(L7&gt;='Lookups &amp; Notes'!$E$4,"High Value","Standard")</x:f>
        <x:v>High Value</x:v>
      </x:c>
    </x:row>
    <x:row r="8">
      <x:c r="A8" s="38" t="str">
        <x:v>CUST-006</x:v>
      </x:c>
      <x:c r="B8" s="38" t="n">
        <x:f>'Raw Data'!A8</x:f>
        <x:v>2</x:v>
      </x:c>
      <x:c r="C8" s="38" t="n">
        <x:f>'Raw Data'!B8</x:f>
        <x:v>3</x:v>
      </x:c>
      <x:c r="D8" s="10" t="n">
        <x:f>'Raw Data'!C8</x:f>
        <x:v>9413</x:v>
      </x:c>
      <x:c r="E8" s="10" t="n">
        <x:f>'Raw Data'!D8</x:f>
        <x:v>8259</x:v>
      </x:c>
      <x:c r="F8" s="10" t="n">
        <x:f>'Raw Data'!E8</x:f>
        <x:v>5126</x:v>
      </x:c>
      <x:c r="G8" s="10" t="n">
        <x:f>'Raw Data'!F8</x:f>
        <x:v>666</x:v>
      </x:c>
      <x:c r="H8" s="10" t="n">
        <x:f>'Raw Data'!G8</x:f>
        <x:v>1795</x:v>
      </x:c>
      <x:c r="I8" s="10" t="n">
        <x:f>'Raw Data'!H8</x:f>
        <x:v>1451</x:v>
      </x:c>
      <x:c r="J8" s="10" t="str">
        <x:f>VLOOKUP(B8,'Lookups &amp; Notes'!$A$4:$B$5,2,FALSE)</x:f>
        <x:v>Retail</x:v>
      </x:c>
      <x:c r="K8" s="10" t="str">
        <x:f>VLOOKUP(C8,'Lookups &amp; Notes'!$A$8:$B$10,2,FALSE)</x:f>
        <x:v>Other</x:v>
      </x:c>
      <x:c r="L8" s="10" t="n">
        <x:f>SUM(D8:I8)</x:f>
        <x:v>26710</x:v>
      </x:c>
      <x:c r="M8" s="39" t="n">
        <x:f>IFERROR(F8/L8,0)</x:f>
        <x:v>0.19191314114563834</x:v>
      </x:c>
      <x:c r="N8" s="38" t="str">
        <x:f>IF(L8&gt;='Lookups &amp; Notes'!$E$4,"High Value","Standard")</x:f>
        <x:v>Standard</x:v>
      </x:c>
    </x:row>
    <x:row r="9">
      <x:c r="A9" s="38" t="str">
        <x:v>CUST-007</x:v>
      </x:c>
      <x:c r="B9" s="38" t="n">
        <x:f>'Raw Data'!A9</x:f>
        <x:v>2</x:v>
      </x:c>
      <x:c r="C9" s="38" t="n">
        <x:f>'Raw Data'!B9</x:f>
        <x:v>3</x:v>
      </x:c>
      <x:c r="D9" s="10" t="n">
        <x:f>'Raw Data'!C9</x:f>
        <x:v>12126</x:v>
      </x:c>
      <x:c r="E9" s="10" t="n">
        <x:f>'Raw Data'!D9</x:f>
        <x:v>3199</x:v>
      </x:c>
      <x:c r="F9" s="10" t="n">
        <x:f>'Raw Data'!E9</x:f>
        <x:v>6975</x:v>
      </x:c>
      <x:c r="G9" s="10" t="n">
        <x:f>'Raw Data'!F9</x:f>
        <x:v>480</x:v>
      </x:c>
      <x:c r="H9" s="10" t="n">
        <x:f>'Raw Data'!G9</x:f>
        <x:v>3140</x:v>
      </x:c>
      <x:c r="I9" s="10" t="n">
        <x:f>'Raw Data'!H9</x:f>
        <x:v>545</x:v>
      </x:c>
      <x:c r="J9" s="10" t="str">
        <x:f>VLOOKUP(B9,'Lookups &amp; Notes'!$A$4:$B$5,2,FALSE)</x:f>
        <x:v>Retail</x:v>
      </x:c>
      <x:c r="K9" s="10" t="str">
        <x:f>VLOOKUP(C9,'Lookups &amp; Notes'!$A$8:$B$10,2,FALSE)</x:f>
        <x:v>Other</x:v>
      </x:c>
      <x:c r="L9" s="10" t="n">
        <x:f>SUM(D9:I9)</x:f>
        <x:v>26465</x:v>
      </x:c>
      <x:c r="M9" s="39" t="n">
        <x:f>IFERROR(F9/L9,0)</x:f>
        <x:v>0.2635556395238995</x:v>
      </x:c>
      <x:c r="N9" s="38" t="str">
        <x:f>IF(L9&gt;='Lookups &amp; Notes'!$E$4,"High Value","Standard")</x:f>
        <x:v>Standard</x:v>
      </x:c>
    </x:row>
    <x:row r="10">
      <x:c r="A10" s="38" t="str">
        <x:v>CUST-008</x:v>
      </x:c>
      <x:c r="B10" s="38" t="n">
        <x:f>'Raw Data'!A10</x:f>
        <x:v>2</x:v>
      </x:c>
      <x:c r="C10" s="38" t="n">
        <x:f>'Raw Data'!B10</x:f>
        <x:v>3</x:v>
      </x:c>
      <x:c r="D10" s="10" t="n">
        <x:f>'Raw Data'!C10</x:f>
        <x:v>7579</x:v>
      </x:c>
      <x:c r="E10" s="10" t="n">
        <x:f>'Raw Data'!D10</x:f>
        <x:v>4956</x:v>
      </x:c>
      <x:c r="F10" s="10" t="n">
        <x:f>'Raw Data'!E10</x:f>
        <x:v>9426</x:v>
      </x:c>
      <x:c r="G10" s="10" t="n">
        <x:f>'Raw Data'!F10</x:f>
        <x:v>1669</x:v>
      </x:c>
      <x:c r="H10" s="10" t="n">
        <x:f>'Raw Data'!G10</x:f>
        <x:v>3321</x:v>
      </x:c>
      <x:c r="I10" s="10" t="n">
        <x:f>'Raw Data'!H10</x:f>
        <x:v>2566</x:v>
      </x:c>
      <x:c r="J10" s="10" t="str">
        <x:f>VLOOKUP(B10,'Lookups &amp; Notes'!$A$4:$B$5,2,FALSE)</x:f>
        <x:v>Retail</x:v>
      </x:c>
      <x:c r="K10" s="10" t="str">
        <x:f>VLOOKUP(C10,'Lookups &amp; Notes'!$A$8:$B$10,2,FALSE)</x:f>
        <x:v>Other</x:v>
      </x:c>
      <x:c r="L10" s="10" t="n">
        <x:f>SUM(D10:I10)</x:f>
        <x:v>29517</x:v>
      </x:c>
      <x:c r="M10" s="39" t="n">
        <x:f>IFERROR(F10/L10,0)</x:f>
        <x:v>0.31934139648338244</x:v>
      </x:c>
      <x:c r="N10" s="38" t="str">
        <x:f>IF(L10&gt;='Lookups &amp; Notes'!$E$4,"High Value","Standard")</x:f>
        <x:v>High Value</x:v>
      </x:c>
    </x:row>
    <x:row r="11">
      <x:c r="A11" s="38" t="str">
        <x:v>CUST-009</x:v>
      </x:c>
      <x:c r="B11" s="38" t="n">
        <x:f>'Raw Data'!A11</x:f>
        <x:v>1</x:v>
      </x:c>
      <x:c r="C11" s="38" t="n">
        <x:f>'Raw Data'!B11</x:f>
        <x:v>3</x:v>
      </x:c>
      <x:c r="D11" s="10" t="n">
        <x:f>'Raw Data'!C11</x:f>
        <x:v>5963</x:v>
      </x:c>
      <x:c r="E11" s="10" t="n">
        <x:f>'Raw Data'!D11</x:f>
        <x:v>3648</x:v>
      </x:c>
      <x:c r="F11" s="10" t="n">
        <x:f>'Raw Data'!E11</x:f>
        <x:v>6192</x:v>
      </x:c>
      <x:c r="G11" s="10" t="n">
        <x:f>'Raw Data'!F11</x:f>
        <x:v>425</x:v>
      </x:c>
      <x:c r="H11" s="10" t="n">
        <x:f>'Raw Data'!G11</x:f>
        <x:v>1716</x:v>
      </x:c>
      <x:c r="I11" s="10" t="n">
        <x:f>'Raw Data'!H11</x:f>
        <x:v>750</x:v>
      </x:c>
      <x:c r="J11" s="10" t="str">
        <x:f>VLOOKUP(B11,'Lookups &amp; Notes'!$A$4:$B$5,2,FALSE)</x:f>
        <x:v>Horeca</x:v>
      </x:c>
      <x:c r="K11" s="10" t="str">
        <x:f>VLOOKUP(C11,'Lookups &amp; Notes'!$A$8:$B$10,2,FALSE)</x:f>
        <x:v>Other</x:v>
      </x:c>
      <x:c r="L11" s="10" t="n">
        <x:f>SUM(D11:I11)</x:f>
        <x:v>18694</x:v>
      </x:c>
      <x:c r="M11" s="39" t="n">
        <x:f>IFERROR(F11/L11,0)</x:f>
        <x:v>0.3312292714239863</x:v>
      </x:c>
      <x:c r="N11" s="38" t="str">
        <x:f>IF(L11&gt;='Lookups &amp; Notes'!$E$4,"High Value","Standard")</x:f>
        <x:v>Standard</x:v>
      </x:c>
    </x:row>
    <x:row r="12">
      <x:c r="A12" s="38" t="str">
        <x:v>CUST-010</x:v>
      </x:c>
      <x:c r="B12" s="38" t="n">
        <x:f>'Raw Data'!A12</x:f>
        <x:v>2</x:v>
      </x:c>
      <x:c r="C12" s="38" t="n">
        <x:f>'Raw Data'!B12</x:f>
        <x:v>3</x:v>
      </x:c>
      <x:c r="D12" s="10" t="n">
        <x:f>'Raw Data'!C12</x:f>
        <x:v>6006</x:v>
      </x:c>
      <x:c r="E12" s="10" t="n">
        <x:f>'Raw Data'!D12</x:f>
        <x:v>11093</x:v>
      </x:c>
      <x:c r="F12" s="10" t="n">
        <x:f>'Raw Data'!E12</x:f>
        <x:v>18881</x:v>
      </x:c>
      <x:c r="G12" s="10" t="n">
        <x:f>'Raw Data'!F12</x:f>
        <x:v>1159</x:v>
      </x:c>
      <x:c r="H12" s="10" t="n">
        <x:f>'Raw Data'!G12</x:f>
        <x:v>7425</x:v>
      </x:c>
      <x:c r="I12" s="10" t="n">
        <x:f>'Raw Data'!H12</x:f>
        <x:v>2098</x:v>
      </x:c>
      <x:c r="J12" s="10" t="str">
        <x:f>VLOOKUP(B12,'Lookups &amp; Notes'!$A$4:$B$5,2,FALSE)</x:f>
        <x:v>Retail</x:v>
      </x:c>
      <x:c r="K12" s="10" t="str">
        <x:f>VLOOKUP(C12,'Lookups &amp; Notes'!$A$8:$B$10,2,FALSE)</x:f>
        <x:v>Other</x:v>
      </x:c>
      <x:c r="L12" s="10" t="n">
        <x:f>SUM(D12:I12)</x:f>
        <x:v>46662</x:v>
      </x:c>
      <x:c r="M12" s="39" t="n">
        <x:f>IFERROR(F12/L12,0)</x:f>
        <x:v>0.40463332047490463</x:v>
      </x:c>
      <x:c r="N12" s="38" t="str">
        <x:f>IF(L12&gt;='Lookups &amp; Notes'!$E$4,"High Value","Standard")</x:f>
        <x:v>High Value</x:v>
      </x:c>
    </x:row>
    <x:row r="13">
      <x:c r="A13" s="38" t="str">
        <x:v>CUST-011</x:v>
      </x:c>
      <x:c r="B13" s="38" t="n">
        <x:f>'Raw Data'!A13</x:f>
        <x:v>2</x:v>
      </x:c>
      <x:c r="C13" s="38" t="n">
        <x:f>'Raw Data'!B13</x:f>
        <x:v>3</x:v>
      </x:c>
      <x:c r="D13" s="10" t="n">
        <x:f>'Raw Data'!C13</x:f>
        <x:v>3366</x:v>
      </x:c>
      <x:c r="E13" s="10" t="n">
        <x:f>'Raw Data'!D13</x:f>
        <x:v>5403</x:v>
      </x:c>
      <x:c r="F13" s="10" t="n">
        <x:f>'Raw Data'!E13</x:f>
        <x:v>12974</x:v>
      </x:c>
      <x:c r="G13" s="10" t="n">
        <x:f>'Raw Data'!F13</x:f>
        <x:v>4400</x:v>
      </x:c>
      <x:c r="H13" s="10" t="n">
        <x:f>'Raw Data'!G13</x:f>
        <x:v>5977</x:v>
      </x:c>
      <x:c r="I13" s="10" t="n">
        <x:f>'Raw Data'!H13</x:f>
        <x:v>1744</x:v>
      </x:c>
      <x:c r="J13" s="10" t="str">
        <x:f>VLOOKUP(B13,'Lookups &amp; Notes'!$A$4:$B$5,2,FALSE)</x:f>
        <x:v>Retail</x:v>
      </x:c>
      <x:c r="K13" s="10" t="str">
        <x:f>VLOOKUP(C13,'Lookups &amp; Notes'!$A$8:$B$10,2,FALSE)</x:f>
        <x:v>Other</x:v>
      </x:c>
      <x:c r="L13" s="10" t="n">
        <x:f>SUM(D13:I13)</x:f>
        <x:v>33864</x:v>
      </x:c>
      <x:c r="M13" s="39" t="n">
        <x:f>IFERROR(F13/L13,0)</x:f>
        <x:v>0.3831207181667848</x:v>
      </x:c>
      <x:c r="N13" s="38" t="str">
        <x:f>IF(L13&gt;='Lookups &amp; Notes'!$E$4,"High Value","Standard")</x:f>
        <x:v>High Value</x:v>
      </x:c>
    </x:row>
    <x:row r="14">
      <x:c r="A14" s="38" t="str">
        <x:v>CUST-012</x:v>
      </x:c>
      <x:c r="B14" s="38" t="n">
        <x:f>'Raw Data'!A14</x:f>
        <x:v>2</x:v>
      </x:c>
      <x:c r="C14" s="38" t="n">
        <x:f>'Raw Data'!B14</x:f>
        <x:v>3</x:v>
      </x:c>
      <x:c r="D14" s="10" t="n">
        <x:f>'Raw Data'!C14</x:f>
        <x:v>13146</x:v>
      </x:c>
      <x:c r="E14" s="10" t="n">
        <x:f>'Raw Data'!D14</x:f>
        <x:v>1124</x:v>
      </x:c>
      <x:c r="F14" s="10" t="n">
        <x:f>'Raw Data'!E14</x:f>
        <x:v>4523</x:v>
      </x:c>
      <x:c r="G14" s="10" t="n">
        <x:f>'Raw Data'!F14</x:f>
        <x:v>1420</x:v>
      </x:c>
      <x:c r="H14" s="10" t="n">
        <x:f>'Raw Data'!G14</x:f>
        <x:v>549</x:v>
      </x:c>
      <x:c r="I14" s="10" t="n">
        <x:f>'Raw Data'!H14</x:f>
        <x:v>497</x:v>
      </x:c>
      <x:c r="J14" s="10" t="str">
        <x:f>VLOOKUP(B14,'Lookups &amp; Notes'!$A$4:$B$5,2,FALSE)</x:f>
        <x:v>Retail</x:v>
      </x:c>
      <x:c r="K14" s="10" t="str">
        <x:f>VLOOKUP(C14,'Lookups &amp; Notes'!$A$8:$B$10,2,FALSE)</x:f>
        <x:v>Other</x:v>
      </x:c>
      <x:c r="L14" s="10" t="n">
        <x:f>SUM(D14:I14)</x:f>
        <x:v>21259</x:v>
      </x:c>
      <x:c r="M14" s="39" t="n">
        <x:f>IFERROR(F14/L14,0)</x:f>
        <x:v>0.21275694999764805</x:v>
      </x:c>
      <x:c r="N14" s="38" t="str">
        <x:f>IF(L14&gt;='Lookups &amp; Notes'!$E$4,"High Value","Standard")</x:f>
        <x:v>Standard</x:v>
      </x:c>
    </x:row>
    <x:row r="15">
      <x:c r="A15" s="38" t="str">
        <x:v>CUST-013</x:v>
      </x:c>
      <x:c r="B15" s="38" t="n">
        <x:f>'Raw Data'!A15</x:f>
        <x:v>2</x:v>
      </x:c>
      <x:c r="C15" s="38" t="n">
        <x:f>'Raw Data'!B15</x:f>
        <x:v>3</x:v>
      </x:c>
      <x:c r="D15" s="10" t="n">
        <x:f>'Raw Data'!C15</x:f>
        <x:v>31714</x:v>
      </x:c>
      <x:c r="E15" s="10" t="n">
        <x:f>'Raw Data'!D15</x:f>
        <x:v>12319</x:v>
      </x:c>
      <x:c r="F15" s="10" t="n">
        <x:f>'Raw Data'!E15</x:f>
        <x:v>11757</x:v>
      </x:c>
      <x:c r="G15" s="10" t="n">
        <x:f>'Raw Data'!F15</x:f>
        <x:v>287</x:v>
      </x:c>
      <x:c r="H15" s="10" t="n">
        <x:f>'Raw Data'!G15</x:f>
        <x:v>3881</x:v>
      </x:c>
      <x:c r="I15" s="10" t="n">
        <x:f>'Raw Data'!H15</x:f>
        <x:v>2931</x:v>
      </x:c>
      <x:c r="J15" s="10" t="str">
        <x:f>VLOOKUP(B15,'Lookups &amp; Notes'!$A$4:$B$5,2,FALSE)</x:f>
        <x:v>Retail</x:v>
      </x:c>
      <x:c r="K15" s="10" t="str">
        <x:f>VLOOKUP(C15,'Lookups &amp; Notes'!$A$8:$B$10,2,FALSE)</x:f>
        <x:v>Other</x:v>
      </x:c>
      <x:c r="L15" s="10" t="n">
        <x:f>SUM(D15:I15)</x:f>
        <x:v>62889</x:v>
      </x:c>
      <x:c r="M15" s="39" t="n">
        <x:f>IFERROR(F15/L15,0)</x:f>
        <x:v>0.18694843295329866</x:v>
      </x:c>
      <x:c r="N15" s="38" t="str">
        <x:f>IF(L15&gt;='Lookups &amp; Notes'!$E$4,"High Value","Standard")</x:f>
        <x:v>High Value</x:v>
      </x:c>
    </x:row>
    <x:row r="16">
      <x:c r="A16" s="38" t="str">
        <x:v>CUST-014</x:v>
      </x:c>
      <x:c r="B16" s="38" t="n">
        <x:f>'Raw Data'!A16</x:f>
        <x:v>2</x:v>
      </x:c>
      <x:c r="C16" s="38" t="n">
        <x:f>'Raw Data'!B16</x:f>
        <x:v>3</x:v>
      </x:c>
      <x:c r="D16" s="10" t="n">
        <x:f>'Raw Data'!C16</x:f>
        <x:v>21217</x:v>
      </x:c>
      <x:c r="E16" s="10" t="n">
        <x:f>'Raw Data'!D16</x:f>
        <x:v>6208</x:v>
      </x:c>
      <x:c r="F16" s="10" t="n">
        <x:f>'Raw Data'!E16</x:f>
        <x:v>14982</x:v>
      </x:c>
      <x:c r="G16" s="10" t="n">
        <x:f>'Raw Data'!F16</x:f>
        <x:v>3095</x:v>
      </x:c>
      <x:c r="H16" s="10" t="n">
        <x:f>'Raw Data'!G16</x:f>
        <x:v>6707</x:v>
      </x:c>
      <x:c r="I16" s="10" t="n">
        <x:f>'Raw Data'!H16</x:f>
        <x:v>602</x:v>
      </x:c>
      <x:c r="J16" s="10" t="str">
        <x:f>VLOOKUP(B16,'Lookups &amp; Notes'!$A$4:$B$5,2,FALSE)</x:f>
        <x:v>Retail</x:v>
      </x:c>
      <x:c r="K16" s="10" t="str">
        <x:f>VLOOKUP(C16,'Lookups &amp; Notes'!$A$8:$B$10,2,FALSE)</x:f>
        <x:v>Other</x:v>
      </x:c>
      <x:c r="L16" s="10" t="n">
        <x:f>SUM(D16:I16)</x:f>
        <x:v>52811</x:v>
      </x:c>
      <x:c r="M16" s="39" t="n">
        <x:f>IFERROR(F16/L16,0)</x:f>
        <x:v>0.2836908977296397</x:v>
      </x:c>
      <x:c r="N16" s="38" t="str">
        <x:f>IF(L16&gt;='Lookups &amp; Notes'!$E$4,"High Value","Standard")</x:f>
        <x:v>High Value</x:v>
      </x:c>
    </x:row>
    <x:row r="17">
      <x:c r="A17" s="38" t="str">
        <x:v>CUST-015</x:v>
      </x:c>
      <x:c r="B17" s="38" t="n">
        <x:f>'Raw Data'!A17</x:f>
        <x:v>2</x:v>
      </x:c>
      <x:c r="C17" s="38" t="n">
        <x:f>'Raw Data'!B17</x:f>
        <x:v>3</x:v>
      </x:c>
      <x:c r="D17" s="10" t="n">
        <x:f>'Raw Data'!C17</x:f>
        <x:v>24653</x:v>
      </x:c>
      <x:c r="E17" s="10" t="n">
        <x:f>'Raw Data'!D17</x:f>
        <x:v>9465</x:v>
      </x:c>
      <x:c r="F17" s="10" t="n">
        <x:f>'Raw Data'!E17</x:f>
        <x:v>12091</x:v>
      </x:c>
      <x:c r="G17" s="10" t="n">
        <x:f>'Raw Data'!F17</x:f>
        <x:v>294</x:v>
      </x:c>
      <x:c r="H17" s="10" t="n">
        <x:f>'Raw Data'!G17</x:f>
        <x:v>5058</x:v>
      </x:c>
      <x:c r="I17" s="10" t="n">
        <x:f>'Raw Data'!H17</x:f>
        <x:v>2168</x:v>
      </x:c>
      <x:c r="J17" s="10" t="str">
        <x:f>VLOOKUP(B17,'Lookups &amp; Notes'!$A$4:$B$5,2,FALSE)</x:f>
        <x:v>Retail</x:v>
      </x:c>
      <x:c r="K17" s="10" t="str">
        <x:f>VLOOKUP(C17,'Lookups &amp; Notes'!$A$8:$B$10,2,FALSE)</x:f>
        <x:v>Other</x:v>
      </x:c>
      <x:c r="L17" s="10" t="n">
        <x:f>SUM(D17:I17)</x:f>
        <x:v>53729</x:v>
      </x:c>
      <x:c r="M17" s="39" t="n">
        <x:f>IFERROR(F17/L17,0)</x:f>
        <x:v>0.22503675854752556</x:v>
      </x:c>
      <x:c r="N17" s="38" t="str">
        <x:f>IF(L17&gt;='Lookups &amp; Notes'!$E$4,"High Value","Standard")</x:f>
        <x:v>High Value</x:v>
      </x:c>
    </x:row>
    <x:row r="18">
      <x:c r="A18" s="38" t="str">
        <x:v>CUST-016</x:v>
      </x:c>
      <x:c r="B18" s="38" t="n">
        <x:f>'Raw Data'!A18</x:f>
        <x:v>1</x:v>
      </x:c>
      <x:c r="C18" s="38" t="n">
        <x:f>'Raw Data'!B18</x:f>
        <x:v>3</x:v>
      </x:c>
      <x:c r="D18" s="10" t="n">
        <x:f>'Raw Data'!C18</x:f>
        <x:v>10253</x:v>
      </x:c>
      <x:c r="E18" s="10" t="n">
        <x:f>'Raw Data'!D18</x:f>
        <x:v>1114</x:v>
      </x:c>
      <x:c r="F18" s="10" t="n">
        <x:f>'Raw Data'!E18</x:f>
        <x:v>3821</x:v>
      </x:c>
      <x:c r="G18" s="10" t="n">
        <x:f>'Raw Data'!F18</x:f>
        <x:v>397</x:v>
      </x:c>
      <x:c r="H18" s="10" t="n">
        <x:f>'Raw Data'!G18</x:f>
        <x:v>964</x:v>
      </x:c>
      <x:c r="I18" s="10" t="n">
        <x:f>'Raw Data'!H18</x:f>
        <x:v>412</x:v>
      </x:c>
      <x:c r="J18" s="10" t="str">
        <x:f>VLOOKUP(B18,'Lookups &amp; Notes'!$A$4:$B$5,2,FALSE)</x:f>
        <x:v>Horeca</x:v>
      </x:c>
      <x:c r="K18" s="10" t="str">
        <x:f>VLOOKUP(C18,'Lookups &amp; Notes'!$A$8:$B$10,2,FALSE)</x:f>
        <x:v>Other</x:v>
      </x:c>
      <x:c r="L18" s="10" t="n">
        <x:f>SUM(D18:I18)</x:f>
        <x:v>16961</x:v>
      </x:c>
      <x:c r="M18" s="39" t="n">
        <x:f>IFERROR(F18/L18,0)</x:f>
        <x:v>0.22528152821177996</x:v>
      </x:c>
      <x:c r="N18" s="38" t="str">
        <x:f>IF(L18&gt;='Lookups &amp; Notes'!$E$4,"High Value","Standard")</x:f>
        <x:v>Standard</x:v>
      </x:c>
    </x:row>
    <x:row r="19">
      <x:c r="A19" s="38" t="str">
        <x:v>CUST-017</x:v>
      </x:c>
      <x:c r="B19" s="38" t="n">
        <x:f>'Raw Data'!A19</x:f>
        <x:v>2</x:v>
      </x:c>
      <x:c r="C19" s="38" t="n">
        <x:f>'Raw Data'!B19</x:f>
        <x:v>3</x:v>
      </x:c>
      <x:c r="D19" s="10" t="n">
        <x:f>'Raw Data'!C19</x:f>
        <x:v>1020</x:v>
      </x:c>
      <x:c r="E19" s="10" t="n">
        <x:f>'Raw Data'!D19</x:f>
        <x:v>8816</x:v>
      </x:c>
      <x:c r="F19" s="10" t="n">
        <x:f>'Raw Data'!E19</x:f>
        <x:v>12121</x:v>
      </x:c>
      <x:c r="G19" s="10" t="n">
        <x:f>'Raw Data'!F19</x:f>
        <x:v>134</x:v>
      </x:c>
      <x:c r="H19" s="10" t="n">
        <x:f>'Raw Data'!G19</x:f>
        <x:v>4508</x:v>
      </x:c>
      <x:c r="I19" s="10" t="n">
        <x:f>'Raw Data'!H19</x:f>
        <x:v>1080</x:v>
      </x:c>
      <x:c r="J19" s="10" t="str">
        <x:f>VLOOKUP(B19,'Lookups &amp; Notes'!$A$4:$B$5,2,FALSE)</x:f>
        <x:v>Retail</x:v>
      </x:c>
      <x:c r="K19" s="10" t="str">
        <x:f>VLOOKUP(C19,'Lookups &amp; Notes'!$A$8:$B$10,2,FALSE)</x:f>
        <x:v>Other</x:v>
      </x:c>
      <x:c r="L19" s="10" t="n">
        <x:f>SUM(D19:I19)</x:f>
        <x:v>27679</x:v>
      </x:c>
      <x:c r="M19" s="39" t="n">
        <x:f>IFERROR(F19/L19,0)</x:f>
        <x:v>0.4379132194082156</x:v>
      </x:c>
      <x:c r="N19" s="38" t="str">
        <x:f>IF(L19&gt;='Lookups &amp; Notes'!$E$4,"High Value","Standard")</x:f>
        <x:v>High Value</x:v>
      </x:c>
    </x:row>
    <x:row r="20">
      <x:c r="A20" s="38" t="str">
        <x:v>CUST-018</x:v>
      </x:c>
      <x:c r="B20" s="38" t="n">
        <x:f>'Raw Data'!A20</x:f>
        <x:v>1</x:v>
      </x:c>
      <x:c r="C20" s="38" t="n">
        <x:f>'Raw Data'!B20</x:f>
        <x:v>3</x:v>
      </x:c>
      <x:c r="D20" s="10" t="n">
        <x:f>'Raw Data'!C20</x:f>
        <x:v>5876</x:v>
      </x:c>
      <x:c r="E20" s="10" t="n">
        <x:f>'Raw Data'!D20</x:f>
        <x:v>6157</x:v>
      </x:c>
      <x:c r="F20" s="10" t="n">
        <x:f>'Raw Data'!E20</x:f>
        <x:v>2933</x:v>
      </x:c>
      <x:c r="G20" s="10" t="n">
        <x:f>'Raw Data'!F20</x:f>
        <x:v>839</x:v>
      </x:c>
      <x:c r="H20" s="10" t="n">
        <x:f>'Raw Data'!G20</x:f>
        <x:v>370</x:v>
      </x:c>
      <x:c r="I20" s="10" t="n">
        <x:f>'Raw Data'!H20</x:f>
        <x:v>4478</x:v>
      </x:c>
      <x:c r="J20" s="10" t="str">
        <x:f>VLOOKUP(B20,'Lookups &amp; Notes'!$A$4:$B$5,2,FALSE)</x:f>
        <x:v>Horeca</x:v>
      </x:c>
      <x:c r="K20" s="10" t="str">
        <x:f>VLOOKUP(C20,'Lookups &amp; Notes'!$A$8:$B$10,2,FALSE)</x:f>
        <x:v>Other</x:v>
      </x:c>
      <x:c r="L20" s="10" t="n">
        <x:f>SUM(D20:I20)</x:f>
        <x:v>20653</x:v>
      </x:c>
      <x:c r="M20" s="39" t="n">
        <x:f>IFERROR(F20/L20,0)</x:f>
        <x:v>0.14201326683774754</x:v>
      </x:c>
      <x:c r="N20" s="38" t="str">
        <x:f>IF(L20&gt;='Lookups &amp; Notes'!$E$4,"High Value","Standard")</x:f>
        <x:v>Standard</x:v>
      </x:c>
    </x:row>
    <x:row r="21">
      <x:c r="A21" s="38" t="str">
        <x:v>CUST-019</x:v>
      </x:c>
      <x:c r="B21" s="38" t="n">
        <x:f>'Raw Data'!A21</x:f>
        <x:v>2</x:v>
      </x:c>
      <x:c r="C21" s="38" t="n">
        <x:f>'Raw Data'!B21</x:f>
        <x:v>3</x:v>
      </x:c>
      <x:c r="D21" s="10" t="n">
        <x:f>'Raw Data'!C21</x:f>
        <x:v>18601</x:v>
      </x:c>
      <x:c r="E21" s="10" t="n">
        <x:f>'Raw Data'!D21</x:f>
        <x:v>6327</x:v>
      </x:c>
      <x:c r="F21" s="10" t="n">
        <x:f>'Raw Data'!E21</x:f>
        <x:v>10099</x:v>
      </x:c>
      <x:c r="G21" s="10" t="n">
        <x:f>'Raw Data'!F21</x:f>
        <x:v>2205</x:v>
      </x:c>
      <x:c r="H21" s="10" t="n">
        <x:f>'Raw Data'!G21</x:f>
        <x:v>2767</x:v>
      </x:c>
      <x:c r="I21" s="10" t="n">
        <x:f>'Raw Data'!H21</x:f>
        <x:v>3181</x:v>
      </x:c>
      <x:c r="J21" s="10" t="str">
        <x:f>VLOOKUP(B21,'Lookups &amp; Notes'!$A$4:$B$5,2,FALSE)</x:f>
        <x:v>Retail</x:v>
      </x:c>
      <x:c r="K21" s="10" t="str">
        <x:f>VLOOKUP(C21,'Lookups &amp; Notes'!$A$8:$B$10,2,FALSE)</x:f>
        <x:v>Other</x:v>
      </x:c>
      <x:c r="L21" s="10" t="n">
        <x:f>SUM(D21:I21)</x:f>
        <x:v>43180</x:v>
      </x:c>
      <x:c r="M21" s="39" t="n">
        <x:f>IFERROR(F21/L21,0)</x:f>
        <x:v>0.23388142658638258</x:v>
      </x:c>
      <x:c r="N21" s="38" t="str">
        <x:f>IF(L21&gt;='Lookups &amp; Notes'!$E$4,"High Value","Standard")</x:f>
        <x:v>High Value</x:v>
      </x:c>
    </x:row>
    <x:row r="22">
      <x:c r="A22" s="38" t="str">
        <x:v>CUST-020</x:v>
      </x:c>
      <x:c r="B22" s="38" t="n">
        <x:f>'Raw Data'!A22</x:f>
        <x:v>1</x:v>
      </x:c>
      <x:c r="C22" s="38" t="n">
        <x:f>'Raw Data'!B22</x:f>
        <x:v>3</x:v>
      </x:c>
      <x:c r="D22" s="10" t="n">
        <x:f>'Raw Data'!C22</x:f>
        <x:v>7780</x:v>
      </x:c>
      <x:c r="E22" s="10" t="n">
        <x:f>'Raw Data'!D22</x:f>
        <x:v>2495</x:v>
      </x:c>
      <x:c r="F22" s="10" t="n">
        <x:f>'Raw Data'!E22</x:f>
        <x:v>9464</x:v>
      </x:c>
      <x:c r="G22" s="10" t="n">
        <x:f>'Raw Data'!F22</x:f>
        <x:v>669</x:v>
      </x:c>
      <x:c r="H22" s="10" t="n">
        <x:f>'Raw Data'!G22</x:f>
        <x:v>2518</x:v>
      </x:c>
      <x:c r="I22" s="10" t="n">
        <x:f>'Raw Data'!H22</x:f>
        <x:v>501</x:v>
      </x:c>
      <x:c r="J22" s="10" t="str">
        <x:f>VLOOKUP(B22,'Lookups &amp; Notes'!$A$4:$B$5,2,FALSE)</x:f>
        <x:v>Horeca</x:v>
      </x:c>
      <x:c r="K22" s="10" t="str">
        <x:f>VLOOKUP(C22,'Lookups &amp; Notes'!$A$8:$B$10,2,FALSE)</x:f>
        <x:v>Other</x:v>
      </x:c>
      <x:c r="L22" s="10" t="n">
        <x:f>SUM(D22:I22)</x:f>
        <x:v>23427</x:v>
      </x:c>
      <x:c r="M22" s="39" t="n">
        <x:f>IFERROR(F22/L22,0)</x:f>
        <x:v>0.40397831561873054</x:v>
      </x:c>
      <x:c r="N22" s="38" t="str">
        <x:f>IF(L22&gt;='Lookups &amp; Notes'!$E$4,"High Value","Standard")</x:f>
        <x:v>Standard</x:v>
      </x:c>
    </x:row>
    <x:row r="23">
      <x:c r="A23" s="38" t="str">
        <x:v>CUST-021</x:v>
      </x:c>
      <x:c r="B23" s="38" t="n">
        <x:f>'Raw Data'!A23</x:f>
        <x:v>2</x:v>
      </x:c>
      <x:c r="C23" s="38" t="n">
        <x:f>'Raw Data'!B23</x:f>
        <x:v>3</x:v>
      </x:c>
      <x:c r="D23" s="10" t="n">
        <x:f>'Raw Data'!C23</x:f>
        <x:v>17546</x:v>
      </x:c>
      <x:c r="E23" s="10" t="n">
        <x:f>'Raw Data'!D23</x:f>
        <x:v>4519</x:v>
      </x:c>
      <x:c r="F23" s="10" t="n">
        <x:f>'Raw Data'!E23</x:f>
        <x:v>4602</x:v>
      </x:c>
      <x:c r="G23" s="10" t="n">
        <x:f>'Raw Data'!F23</x:f>
        <x:v>1066</x:v>
      </x:c>
      <x:c r="H23" s="10" t="n">
        <x:f>'Raw Data'!G23</x:f>
        <x:v>2259</x:v>
      </x:c>
      <x:c r="I23" s="10" t="n">
        <x:f>'Raw Data'!H23</x:f>
        <x:v>2124</x:v>
      </x:c>
      <x:c r="J23" s="10" t="str">
        <x:f>VLOOKUP(B23,'Lookups &amp; Notes'!$A$4:$B$5,2,FALSE)</x:f>
        <x:v>Retail</x:v>
      </x:c>
      <x:c r="K23" s="10" t="str">
        <x:f>VLOOKUP(C23,'Lookups &amp; Notes'!$A$8:$B$10,2,FALSE)</x:f>
        <x:v>Other</x:v>
      </x:c>
      <x:c r="L23" s="10" t="n">
        <x:f>SUM(D23:I23)</x:f>
        <x:v>32116</x:v>
      </x:c>
      <x:c r="M23" s="39" t="n">
        <x:f>IFERROR(F23/L23,0)</x:f>
        <x:v>0.14329306264790137</x:v>
      </x:c>
      <x:c r="N23" s="38" t="str">
        <x:f>IF(L23&gt;='Lookups &amp; Notes'!$E$4,"High Value","Standard")</x:f>
        <x:v>High Value</x:v>
      </x:c>
    </x:row>
    <x:row r="24">
      <x:c r="A24" s="38" t="str">
        <x:v>CUST-022</x:v>
      </x:c>
      <x:c r="B24" s="38" t="n">
        <x:f>'Raw Data'!A24</x:f>
        <x:v>1</x:v>
      </x:c>
      <x:c r="C24" s="38" t="n">
        <x:f>'Raw Data'!B24</x:f>
        <x:v>3</x:v>
      </x:c>
      <x:c r="D24" s="10" t="n">
        <x:f>'Raw Data'!C24</x:f>
        <x:v>5567</x:v>
      </x:c>
      <x:c r="E24" s="10" t="n">
        <x:f>'Raw Data'!D24</x:f>
        <x:v>871</x:v>
      </x:c>
      <x:c r="F24" s="10" t="n">
        <x:f>'Raw Data'!E24</x:f>
        <x:v>2010</x:v>
      </x:c>
      <x:c r="G24" s="10" t="n">
        <x:f>'Raw Data'!F24</x:f>
        <x:v>3383</x:v>
      </x:c>
      <x:c r="H24" s="10" t="n">
        <x:f>'Raw Data'!G24</x:f>
        <x:v>375</x:v>
      </x:c>
      <x:c r="I24" s="10" t="n">
        <x:f>'Raw Data'!H24</x:f>
        <x:v>569</x:v>
      </x:c>
      <x:c r="J24" s="10" t="str">
        <x:f>VLOOKUP(B24,'Lookups &amp; Notes'!$A$4:$B$5,2,FALSE)</x:f>
        <x:v>Horeca</x:v>
      </x:c>
      <x:c r="K24" s="10" t="str">
        <x:f>VLOOKUP(C24,'Lookups &amp; Notes'!$A$8:$B$10,2,FALSE)</x:f>
        <x:v>Other</x:v>
      </x:c>
      <x:c r="L24" s="10" t="n">
        <x:f>SUM(D24:I24)</x:f>
        <x:v>12775</x:v>
      </x:c>
      <x:c r="M24" s="39" t="n">
        <x:f>IFERROR(F24/L24,0)</x:f>
        <x:v>0.1573385518590998</x:v>
      </x:c>
      <x:c r="N24" s="38" t="str">
        <x:f>IF(L24&gt;='Lookups &amp; Notes'!$E$4,"High Value","Standard")</x:f>
        <x:v>Standard</x:v>
      </x:c>
    </x:row>
    <x:row r="25">
      <x:c r="A25" s="38" t="str">
        <x:v>CUST-023</x:v>
      </x:c>
      <x:c r="B25" s="38" t="n">
        <x:f>'Raw Data'!A25</x:f>
        <x:v>1</x:v>
      </x:c>
      <x:c r="C25" s="38" t="n">
        <x:f>'Raw Data'!B25</x:f>
        <x:v>3</x:v>
      </x:c>
      <x:c r="D25" s="10" t="n">
        <x:f>'Raw Data'!C25</x:f>
        <x:v>31276</x:v>
      </x:c>
      <x:c r="E25" s="10" t="n">
        <x:f>'Raw Data'!D25</x:f>
        <x:v>1917</x:v>
      </x:c>
      <x:c r="F25" s="10" t="n">
        <x:f>'Raw Data'!E25</x:f>
        <x:v>4469</x:v>
      </x:c>
      <x:c r="G25" s="10" t="n">
        <x:f>'Raw Data'!F25</x:f>
        <x:v>9408</x:v>
      </x:c>
      <x:c r="H25" s="10" t="n">
        <x:f>'Raw Data'!G25</x:f>
        <x:v>2381</x:v>
      </x:c>
      <x:c r="I25" s="10" t="n">
        <x:f>'Raw Data'!H25</x:f>
        <x:v>4334</x:v>
      </x:c>
      <x:c r="J25" s="10" t="str">
        <x:f>VLOOKUP(B25,'Lookups &amp; Notes'!$A$4:$B$5,2,FALSE)</x:f>
        <x:v>Horeca</x:v>
      </x:c>
      <x:c r="K25" s="10" t="str">
        <x:f>VLOOKUP(C25,'Lookups &amp; Notes'!$A$8:$B$10,2,FALSE)</x:f>
        <x:v>Other</x:v>
      </x:c>
      <x:c r="L25" s="10" t="n">
        <x:f>SUM(D25:I25)</x:f>
        <x:v>53785</x:v>
      </x:c>
      <x:c r="M25" s="39" t="n">
        <x:f>IFERROR(F25/L25,0)</x:f>
        <x:v>0.0830900808775681</x:v>
      </x:c>
      <x:c r="N25" s="38" t="str">
        <x:f>IF(L25&gt;='Lookups &amp; Notes'!$E$4,"High Value","Standard")</x:f>
        <x:v>High Value</x:v>
      </x:c>
    </x:row>
    <x:row r="26">
      <x:c r="A26" s="38" t="str">
        <x:v>CUST-024</x:v>
      </x:c>
      <x:c r="B26" s="38" t="n">
        <x:f>'Raw Data'!A26</x:f>
        <x:v>2</x:v>
      </x:c>
      <x:c r="C26" s="38" t="n">
        <x:f>'Raw Data'!B26</x:f>
        <x:v>3</x:v>
      </x:c>
      <x:c r="D26" s="10" t="n">
        <x:f>'Raw Data'!C26</x:f>
        <x:v>26373</x:v>
      </x:c>
      <x:c r="E26" s="10" t="n">
        <x:f>'Raw Data'!D26</x:f>
        <x:v>36423</x:v>
      </x:c>
      <x:c r="F26" s="10" t="n">
        <x:f>'Raw Data'!E26</x:f>
        <x:v>22019</x:v>
      </x:c>
      <x:c r="G26" s="10" t="n">
        <x:f>'Raw Data'!F26</x:f>
        <x:v>5154</x:v>
      </x:c>
      <x:c r="H26" s="10" t="n">
        <x:f>'Raw Data'!G26</x:f>
        <x:v>4337</x:v>
      </x:c>
      <x:c r="I26" s="10" t="n">
        <x:f>'Raw Data'!H26</x:f>
        <x:v>16523</x:v>
      </x:c>
      <x:c r="J26" s="10" t="str">
        <x:f>VLOOKUP(B26,'Lookups &amp; Notes'!$A$4:$B$5,2,FALSE)</x:f>
        <x:v>Retail</x:v>
      </x:c>
      <x:c r="K26" s="10" t="str">
        <x:f>VLOOKUP(C26,'Lookups &amp; Notes'!$A$8:$B$10,2,FALSE)</x:f>
        <x:v>Other</x:v>
      </x:c>
      <x:c r="L26" s="10" t="n">
        <x:f>SUM(D26:I26)</x:f>
        <x:v>110829</x:v>
      </x:c>
      <x:c r="M26" s="39" t="n">
        <x:f>IFERROR(F26/L26,0)</x:f>
        <x:v>0.1986754369343764</x:v>
      </x:c>
      <x:c r="N26" s="38" t="str">
        <x:f>IF(L26&gt;='Lookups &amp; Notes'!$E$4,"High Value","Standard")</x:f>
        <x:v>High Value</x:v>
      </x:c>
    </x:row>
    <x:row r="27">
      <x:c r="A27" s="38" t="str">
        <x:v>CUST-025</x:v>
      </x:c>
      <x:c r="B27" s="38" t="n">
        <x:f>'Raw Data'!A27</x:f>
        <x:v>2</x:v>
      </x:c>
      <x:c r="C27" s="38" t="n">
        <x:f>'Raw Data'!B27</x:f>
        <x:v>3</x:v>
      </x:c>
      <x:c r="D27" s="10" t="n">
        <x:f>'Raw Data'!C27</x:f>
        <x:v>22647</x:v>
      </x:c>
      <x:c r="E27" s="10" t="n">
        <x:f>'Raw Data'!D27</x:f>
        <x:v>9776</x:v>
      </x:c>
      <x:c r="F27" s="10" t="n">
        <x:f>'Raw Data'!E27</x:f>
        <x:v>13792</x:v>
      </x:c>
      <x:c r="G27" s="10" t="n">
        <x:f>'Raw Data'!F27</x:f>
        <x:v>2915</x:v>
      </x:c>
      <x:c r="H27" s="10" t="n">
        <x:f>'Raw Data'!G27</x:f>
        <x:v>4482</x:v>
      </x:c>
      <x:c r="I27" s="10" t="n">
        <x:f>'Raw Data'!H27</x:f>
        <x:v>5778</x:v>
      </x:c>
      <x:c r="J27" s="10" t="str">
        <x:f>VLOOKUP(B27,'Lookups &amp; Notes'!$A$4:$B$5,2,FALSE)</x:f>
        <x:v>Retail</x:v>
      </x:c>
      <x:c r="K27" s="10" t="str">
        <x:f>VLOOKUP(C27,'Lookups &amp; Notes'!$A$8:$B$10,2,FALSE)</x:f>
        <x:v>Other</x:v>
      </x:c>
      <x:c r="L27" s="10" t="n">
        <x:f>SUM(D27:I27)</x:f>
        <x:v>59390</x:v>
      </x:c>
      <x:c r="M27" s="39" t="n">
        <x:f>IFERROR(F27/L27,0)</x:f>
        <x:v>0.23222764775214683</x:v>
      </x:c>
      <x:c r="N27" s="38" t="str">
        <x:f>IF(L27&gt;='Lookups &amp; Notes'!$E$4,"High Value","Standard")</x:f>
        <x:v>High Value</x:v>
      </x:c>
    </x:row>
    <x:row r="28">
      <x:c r="A28" s="38" t="str">
        <x:v>CUST-026</x:v>
      </x:c>
      <x:c r="B28" s="38" t="n">
        <x:f>'Raw Data'!A28</x:f>
        <x:v>2</x:v>
      </x:c>
      <x:c r="C28" s="38" t="n">
        <x:f>'Raw Data'!B28</x:f>
        <x:v>3</x:v>
      </x:c>
      <x:c r="D28" s="10" t="n">
        <x:f>'Raw Data'!C28</x:f>
        <x:v>16165</x:v>
      </x:c>
      <x:c r="E28" s="10" t="n">
        <x:f>'Raw Data'!D28</x:f>
        <x:v>4230</x:v>
      </x:c>
      <x:c r="F28" s="10" t="n">
        <x:f>'Raw Data'!E28</x:f>
        <x:v>7595</x:v>
      </x:c>
      <x:c r="G28" s="10" t="n">
        <x:f>'Raw Data'!F28</x:f>
        <x:v>201</x:v>
      </x:c>
      <x:c r="H28" s="10" t="n">
        <x:f>'Raw Data'!G28</x:f>
        <x:v>4003</x:v>
      </x:c>
      <x:c r="I28" s="10" t="n">
        <x:f>'Raw Data'!H28</x:f>
        <x:v>57</x:v>
      </x:c>
      <x:c r="J28" s="10" t="str">
        <x:f>VLOOKUP(B28,'Lookups &amp; Notes'!$A$4:$B$5,2,FALSE)</x:f>
        <x:v>Retail</x:v>
      </x:c>
      <x:c r="K28" s="10" t="str">
        <x:f>VLOOKUP(C28,'Lookups &amp; Notes'!$A$8:$B$10,2,FALSE)</x:f>
        <x:v>Other</x:v>
      </x:c>
      <x:c r="L28" s="10" t="n">
        <x:f>SUM(D28:I28)</x:f>
        <x:v>32251</x:v>
      </x:c>
      <x:c r="M28" s="39" t="n">
        <x:f>IFERROR(F28/L28,0)</x:f>
        <x:v>0.23549657374965116</x:v>
      </x:c>
      <x:c r="N28" s="38" t="str">
        <x:f>IF(L28&gt;='Lookups &amp; Notes'!$E$4,"High Value","Standard")</x:f>
        <x:v>High Value</x:v>
      </x:c>
    </x:row>
    <x:row r="29">
      <x:c r="A29" s="38" t="str">
        <x:v>CUST-027</x:v>
      </x:c>
      <x:c r="B29" s="38" t="n">
        <x:f>'Raw Data'!A29</x:f>
        <x:v>1</x:v>
      </x:c>
      <x:c r="C29" s="38" t="n">
        <x:f>'Raw Data'!B29</x:f>
        <x:v>3</x:v>
      </x:c>
      <x:c r="D29" s="10" t="n">
        <x:f>'Raw Data'!C29</x:f>
        <x:v>9898</x:v>
      </x:c>
      <x:c r="E29" s="10" t="n">
        <x:f>'Raw Data'!D29</x:f>
        <x:v>961</x:v>
      </x:c>
      <x:c r="F29" s="10" t="n">
        <x:f>'Raw Data'!E29</x:f>
        <x:v>2861</x:v>
      </x:c>
      <x:c r="G29" s="10" t="n">
        <x:f>'Raw Data'!F29</x:f>
        <x:v>3151</x:v>
      </x:c>
      <x:c r="H29" s="10" t="n">
        <x:f>'Raw Data'!G29</x:f>
        <x:v>242</x:v>
      </x:c>
      <x:c r="I29" s="10" t="n">
        <x:f>'Raw Data'!H29</x:f>
        <x:v>833</x:v>
      </x:c>
      <x:c r="J29" s="10" t="str">
        <x:f>VLOOKUP(B29,'Lookups &amp; Notes'!$A$4:$B$5,2,FALSE)</x:f>
        <x:v>Horeca</x:v>
      </x:c>
      <x:c r="K29" s="10" t="str">
        <x:f>VLOOKUP(C29,'Lookups &amp; Notes'!$A$8:$B$10,2,FALSE)</x:f>
        <x:v>Other</x:v>
      </x:c>
      <x:c r="L29" s="10" t="n">
        <x:f>SUM(D29:I29)</x:f>
        <x:v>17946</x:v>
      </x:c>
      <x:c r="M29" s="39" t="n">
        <x:f>IFERROR(F29/L29,0)</x:f>
        <x:v>0.159422712582191</x:v>
      </x:c>
      <x:c r="N29" s="38" t="str">
        <x:f>IF(L29&gt;='Lookups &amp; Notes'!$E$4,"High Value","Standard")</x:f>
        <x:v>Standard</x:v>
      </x:c>
    </x:row>
    <x:row r="30">
      <x:c r="A30" s="38" t="str">
        <x:v>CUST-028</x:v>
      </x:c>
      <x:c r="B30" s="38" t="n">
        <x:f>'Raw Data'!A30</x:f>
        <x:v>1</x:v>
      </x:c>
      <x:c r="C30" s="38" t="n">
        <x:f>'Raw Data'!B30</x:f>
        <x:v>3</x:v>
      </x:c>
      <x:c r="D30" s="10" t="n">
        <x:f>'Raw Data'!C30</x:f>
        <x:v>14276</x:v>
      </x:c>
      <x:c r="E30" s="10" t="n">
        <x:f>'Raw Data'!D30</x:f>
        <x:v>803</x:v>
      </x:c>
      <x:c r="F30" s="10" t="n">
        <x:f>'Raw Data'!E30</x:f>
        <x:v>3045</x:v>
      </x:c>
      <x:c r="G30" s="10" t="n">
        <x:f>'Raw Data'!F30</x:f>
        <x:v>485</x:v>
      </x:c>
      <x:c r="H30" s="10" t="n">
        <x:f>'Raw Data'!G30</x:f>
        <x:v>100</x:v>
      </x:c>
      <x:c r="I30" s="10" t="n">
        <x:f>'Raw Data'!H30</x:f>
        <x:v>518</x:v>
      </x:c>
      <x:c r="J30" s="10" t="str">
        <x:f>VLOOKUP(B30,'Lookups &amp; Notes'!$A$4:$B$5,2,FALSE)</x:f>
        <x:v>Horeca</x:v>
      </x:c>
      <x:c r="K30" s="10" t="str">
        <x:f>VLOOKUP(C30,'Lookups &amp; Notes'!$A$8:$B$10,2,FALSE)</x:f>
        <x:v>Other</x:v>
      </x:c>
      <x:c r="L30" s="10" t="n">
        <x:f>SUM(D30:I30)</x:f>
        <x:v>19227</x:v>
      </x:c>
      <x:c r="M30" s="39" t="n">
        <x:f>IFERROR(F30/L30,0)</x:f>
        <x:v>0.1583710407239819</x:v>
      </x:c>
      <x:c r="N30" s="38" t="str">
        <x:f>IF(L30&gt;='Lookups &amp; Notes'!$E$4,"High Value","Standard")</x:f>
        <x:v>Standard</x:v>
      </x:c>
    </x:row>
    <x:row r="31">
      <x:c r="A31" s="38" t="str">
        <x:v>CUST-029</x:v>
      </x:c>
      <x:c r="B31" s="38" t="n">
        <x:f>'Raw Data'!A31</x:f>
        <x:v>2</x:v>
      </x:c>
      <x:c r="C31" s="38" t="n">
        <x:f>'Raw Data'!B31</x:f>
        <x:v>3</x:v>
      </x:c>
      <x:c r="D31" s="10" t="n">
        <x:f>'Raw Data'!C31</x:f>
        <x:v>4113</x:v>
      </x:c>
      <x:c r="E31" s="10" t="n">
        <x:f>'Raw Data'!D31</x:f>
        <x:v>20484</x:v>
      </x:c>
      <x:c r="F31" s="10" t="n">
        <x:f>'Raw Data'!E31</x:f>
        <x:v>25957</x:v>
      </x:c>
      <x:c r="G31" s="10" t="n">
        <x:f>'Raw Data'!F31</x:f>
        <x:v>1158</x:v>
      </x:c>
      <x:c r="H31" s="10" t="n">
        <x:f>'Raw Data'!G31</x:f>
        <x:v>8604</x:v>
      </x:c>
      <x:c r="I31" s="10" t="n">
        <x:f>'Raw Data'!H31</x:f>
        <x:v>5206</x:v>
      </x:c>
      <x:c r="J31" s="10" t="str">
        <x:f>VLOOKUP(B31,'Lookups &amp; Notes'!$A$4:$B$5,2,FALSE)</x:f>
        <x:v>Retail</x:v>
      </x:c>
      <x:c r="K31" s="10" t="str">
        <x:f>VLOOKUP(C31,'Lookups &amp; Notes'!$A$8:$B$10,2,FALSE)</x:f>
        <x:v>Other</x:v>
      </x:c>
      <x:c r="L31" s="10" t="n">
        <x:f>SUM(D31:I31)</x:f>
        <x:v>65522</x:v>
      </x:c>
      <x:c r="M31" s="39" t="n">
        <x:f>IFERROR(F31/L31,0)</x:f>
        <x:v>0.3961570159641037</x:v>
      </x:c>
      <x:c r="N31" s="38" t="str">
        <x:f>IF(L31&gt;='Lookups &amp; Notes'!$E$4,"High Value","Standard")</x:f>
        <x:v>High Value</x:v>
      </x:c>
    </x:row>
    <x:row r="32">
      <x:c r="A32" s="38" t="str">
        <x:v>CUST-030</x:v>
      </x:c>
      <x:c r="B32" s="38" t="n">
        <x:f>'Raw Data'!A32</x:f>
        <x:v>1</x:v>
      </x:c>
      <x:c r="C32" s="38" t="n">
        <x:f>'Raw Data'!B32</x:f>
        <x:v>3</x:v>
      </x:c>
      <x:c r="D32" s="10" t="n">
        <x:f>'Raw Data'!C32</x:f>
        <x:v>43088</x:v>
      </x:c>
      <x:c r="E32" s="10" t="n">
        <x:f>'Raw Data'!D32</x:f>
        <x:v>2100</x:v>
      </x:c>
      <x:c r="F32" s="10" t="n">
        <x:f>'Raw Data'!E32</x:f>
        <x:v>2609</x:v>
      </x:c>
      <x:c r="G32" s="10" t="n">
        <x:f>'Raw Data'!F32</x:f>
        <x:v>1200</x:v>
      </x:c>
      <x:c r="H32" s="10" t="n">
        <x:f>'Raw Data'!G32</x:f>
        <x:v>1107</x:v>
      </x:c>
      <x:c r="I32" s="10" t="n">
        <x:f>'Raw Data'!H32</x:f>
        <x:v>823</x:v>
      </x:c>
      <x:c r="J32" s="10" t="str">
        <x:f>VLOOKUP(B32,'Lookups &amp; Notes'!$A$4:$B$5,2,FALSE)</x:f>
        <x:v>Horeca</x:v>
      </x:c>
      <x:c r="K32" s="10" t="str">
        <x:f>VLOOKUP(C32,'Lookups &amp; Notes'!$A$8:$B$10,2,FALSE)</x:f>
        <x:v>Other</x:v>
      </x:c>
      <x:c r="L32" s="10" t="n">
        <x:f>SUM(D32:I32)</x:f>
        <x:v>50927</x:v>
      </x:c>
      <x:c r="M32" s="39" t="n">
        <x:f>IFERROR(F32/L32,0)</x:f>
        <x:v>0.05123019223594557</x:v>
      </x:c>
      <x:c r="N32" s="38" t="str">
        <x:f>IF(L32&gt;='Lookups &amp; Notes'!$E$4,"High Value","Standard")</x:f>
        <x:v>High Value</x:v>
      </x:c>
    </x:row>
    <x:row r="33">
      <x:c r="A33" s="38" t="str">
        <x:v>CUST-031</x:v>
      </x:c>
      <x:c r="B33" s="38" t="n">
        <x:f>'Raw Data'!A33</x:f>
        <x:v>1</x:v>
      </x:c>
      <x:c r="C33" s="38" t="n">
        <x:f>'Raw Data'!B33</x:f>
        <x:v>3</x:v>
      </x:c>
      <x:c r="D33" s="10" t="n">
        <x:f>'Raw Data'!C33</x:f>
        <x:v>18815</x:v>
      </x:c>
      <x:c r="E33" s="10" t="n">
        <x:f>'Raw Data'!D33</x:f>
        <x:v>3610</x:v>
      </x:c>
      <x:c r="F33" s="10" t="n">
        <x:f>'Raw Data'!E33</x:f>
        <x:v>11107</x:v>
      </x:c>
      <x:c r="G33" s="10" t="n">
        <x:f>'Raw Data'!F33</x:f>
        <x:v>1148</x:v>
      </x:c>
      <x:c r="H33" s="10" t="n">
        <x:f>'Raw Data'!G33</x:f>
        <x:v>2134</x:v>
      </x:c>
      <x:c r="I33" s="10" t="n">
        <x:f>'Raw Data'!H33</x:f>
        <x:v>2963</x:v>
      </x:c>
      <x:c r="J33" s="10" t="str">
        <x:f>VLOOKUP(B33,'Lookups &amp; Notes'!$A$4:$B$5,2,FALSE)</x:f>
        <x:v>Horeca</x:v>
      </x:c>
      <x:c r="K33" s="10" t="str">
        <x:f>VLOOKUP(C33,'Lookups &amp; Notes'!$A$8:$B$10,2,FALSE)</x:f>
        <x:v>Other</x:v>
      </x:c>
      <x:c r="L33" s="10" t="n">
        <x:f>SUM(D33:I33)</x:f>
        <x:v>39777</x:v>
      </x:c>
      <x:c r="M33" s="39" t="n">
        <x:f>IFERROR(F33/L33,0)</x:f>
        <x:v>0.2792317168212786</x:v>
      </x:c>
      <x:c r="N33" s="38" t="str">
        <x:f>IF(L33&gt;='Lookups &amp; Notes'!$E$4,"High Value","Standard")</x:f>
        <x:v>High Value</x:v>
      </x:c>
    </x:row>
    <x:row r="34">
      <x:c r="A34" s="38" t="str">
        <x:v>CUST-032</x:v>
      </x:c>
      <x:c r="B34" s="38" t="n">
        <x:f>'Raw Data'!A34</x:f>
        <x:v>1</x:v>
      </x:c>
      <x:c r="C34" s="38" t="n">
        <x:f>'Raw Data'!B34</x:f>
        <x:v>3</x:v>
      </x:c>
      <x:c r="D34" s="10" t="n">
        <x:f>'Raw Data'!C34</x:f>
        <x:v>2612</x:v>
      </x:c>
      <x:c r="E34" s="10" t="n">
        <x:f>'Raw Data'!D34</x:f>
        <x:v>4339</x:v>
      </x:c>
      <x:c r="F34" s="10" t="n">
        <x:f>'Raw Data'!E34</x:f>
        <x:v>3133</x:v>
      </x:c>
      <x:c r="G34" s="10" t="n">
        <x:f>'Raw Data'!F34</x:f>
        <x:v>2088</x:v>
      </x:c>
      <x:c r="H34" s="10" t="n">
        <x:f>'Raw Data'!G34</x:f>
        <x:v>820</x:v>
      </x:c>
      <x:c r="I34" s="10" t="n">
        <x:f>'Raw Data'!H34</x:f>
        <x:v>985</x:v>
      </x:c>
      <x:c r="J34" s="10" t="str">
        <x:f>VLOOKUP(B34,'Lookups &amp; Notes'!$A$4:$B$5,2,FALSE)</x:f>
        <x:v>Horeca</x:v>
      </x:c>
      <x:c r="K34" s="10" t="str">
        <x:f>VLOOKUP(C34,'Lookups &amp; Notes'!$A$8:$B$10,2,FALSE)</x:f>
        <x:v>Other</x:v>
      </x:c>
      <x:c r="L34" s="10" t="n">
        <x:f>SUM(D34:I34)</x:f>
        <x:v>13977</x:v>
      </x:c>
      <x:c r="M34" s="39" t="n">
        <x:f>IFERROR(F34/L34,0)</x:f>
        <x:v>0.22415396723188094</x:v>
      </x:c>
      <x:c r="N34" s="38" t="str">
        <x:f>IF(L34&gt;='Lookups &amp; Notes'!$E$4,"High Value","Standard")</x:f>
        <x:v>Standard</x:v>
      </x:c>
    </x:row>
    <x:row r="35">
      <x:c r="A35" s="38" t="str">
        <x:v>CUST-033</x:v>
      </x:c>
      <x:c r="B35" s="38" t="n">
        <x:f>'Raw Data'!A35</x:f>
        <x:v>1</x:v>
      </x:c>
      <x:c r="C35" s="38" t="n">
        <x:f>'Raw Data'!B35</x:f>
        <x:v>3</x:v>
      </x:c>
      <x:c r="D35" s="10" t="n">
        <x:f>'Raw Data'!C35</x:f>
        <x:v>21632</x:v>
      </x:c>
      <x:c r="E35" s="10" t="n">
        <x:f>'Raw Data'!D35</x:f>
        <x:v>1318</x:v>
      </x:c>
      <x:c r="F35" s="10" t="n">
        <x:f>'Raw Data'!E35</x:f>
        <x:v>2886</x:v>
      </x:c>
      <x:c r="G35" s="10" t="n">
        <x:f>'Raw Data'!F35</x:f>
        <x:v>266</x:v>
      </x:c>
      <x:c r="H35" s="10" t="n">
        <x:f>'Raw Data'!G35</x:f>
        <x:v>918</x:v>
      </x:c>
      <x:c r="I35" s="10" t="n">
        <x:f>'Raw Data'!H35</x:f>
        <x:v>405</x:v>
      </x:c>
      <x:c r="J35" s="10" t="str">
        <x:f>VLOOKUP(B35,'Lookups &amp; Notes'!$A$4:$B$5,2,FALSE)</x:f>
        <x:v>Horeca</x:v>
      </x:c>
      <x:c r="K35" s="10" t="str">
        <x:f>VLOOKUP(C35,'Lookups &amp; Notes'!$A$8:$B$10,2,FALSE)</x:f>
        <x:v>Other</x:v>
      </x:c>
      <x:c r="L35" s="10" t="n">
        <x:f>SUM(D35:I35)</x:f>
        <x:v>27425</x:v>
      </x:c>
      <x:c r="M35" s="39" t="n">
        <x:f>IFERROR(F35/L35,0)</x:f>
        <x:v>0.10523245214220601</x:v>
      </x:c>
      <x:c r="N35" s="38" t="str">
        <x:f>IF(L35&gt;='Lookups &amp; Notes'!$E$4,"High Value","Standard")</x:f>
        <x:v>Standard</x:v>
      </x:c>
    </x:row>
    <x:row r="36">
      <x:c r="A36" s="38" t="str">
        <x:v>CUST-034</x:v>
      </x:c>
      <x:c r="B36" s="38" t="n">
        <x:f>'Raw Data'!A36</x:f>
        <x:v>1</x:v>
      </x:c>
      <x:c r="C36" s="38" t="n">
        <x:f>'Raw Data'!B36</x:f>
        <x:v>3</x:v>
      </x:c>
      <x:c r="D36" s="10" t="n">
        <x:f>'Raw Data'!C36</x:f>
        <x:v>29729</x:v>
      </x:c>
      <x:c r="E36" s="10" t="n">
        <x:f>'Raw Data'!D36</x:f>
        <x:v>4786</x:v>
      </x:c>
      <x:c r="F36" s="10" t="n">
        <x:f>'Raw Data'!E36</x:f>
        <x:v>7326</x:v>
      </x:c>
      <x:c r="G36" s="10" t="n">
        <x:f>'Raw Data'!F36</x:f>
        <x:v>6130</x:v>
      </x:c>
      <x:c r="H36" s="10" t="n">
        <x:f>'Raw Data'!G36</x:f>
        <x:v>361</x:v>
      </x:c>
      <x:c r="I36" s="10" t="n">
        <x:f>'Raw Data'!H36</x:f>
        <x:v>1083</x:v>
      </x:c>
      <x:c r="J36" s="10" t="str">
        <x:f>VLOOKUP(B36,'Lookups &amp; Notes'!$A$4:$B$5,2,FALSE)</x:f>
        <x:v>Horeca</x:v>
      </x:c>
      <x:c r="K36" s="10" t="str">
        <x:f>VLOOKUP(C36,'Lookups &amp; Notes'!$A$8:$B$10,2,FALSE)</x:f>
        <x:v>Other</x:v>
      </x:c>
      <x:c r="L36" s="10" t="n">
        <x:f>SUM(D36:I36)</x:f>
        <x:v>49415</x:v>
      </x:c>
      <x:c r="M36" s="39" t="n">
        <x:f>IFERROR(F36/L36,0)</x:f>
        <x:v>0.14825457856926036</x:v>
      </x:c>
      <x:c r="N36" s="38" t="str">
        <x:f>IF(L36&gt;='Lookups &amp; Notes'!$E$4,"High Value","Standard")</x:f>
        <x:v>High Value</x:v>
      </x:c>
    </x:row>
    <x:row r="37">
      <x:c r="A37" s="38" t="str">
        <x:v>CUST-035</x:v>
      </x:c>
      <x:c r="B37" s="38" t="n">
        <x:f>'Raw Data'!A37</x:f>
        <x:v>1</x:v>
      </x:c>
      <x:c r="C37" s="38" t="n">
        <x:f>'Raw Data'!B37</x:f>
        <x:v>3</x:v>
      </x:c>
      <x:c r="D37" s="10" t="n">
        <x:f>'Raw Data'!C37</x:f>
        <x:v>1502</x:v>
      </x:c>
      <x:c r="E37" s="10" t="n">
        <x:f>'Raw Data'!D37</x:f>
        <x:v>1979</x:v>
      </x:c>
      <x:c r="F37" s="10" t="n">
        <x:f>'Raw Data'!E37</x:f>
        <x:v>2262</x:v>
      </x:c>
      <x:c r="G37" s="10" t="n">
        <x:f>'Raw Data'!F37</x:f>
        <x:v>425</x:v>
      </x:c>
      <x:c r="H37" s="10" t="n">
        <x:f>'Raw Data'!G37</x:f>
        <x:v>483</x:v>
      </x:c>
      <x:c r="I37" s="10" t="n">
        <x:f>'Raw Data'!H37</x:f>
        <x:v>395</x:v>
      </x:c>
      <x:c r="J37" s="10" t="str">
        <x:f>VLOOKUP(B37,'Lookups &amp; Notes'!$A$4:$B$5,2,FALSE)</x:f>
        <x:v>Horeca</x:v>
      </x:c>
      <x:c r="K37" s="10" t="str">
        <x:f>VLOOKUP(C37,'Lookups &amp; Notes'!$A$8:$B$10,2,FALSE)</x:f>
        <x:v>Other</x:v>
      </x:c>
      <x:c r="L37" s="10" t="n">
        <x:f>SUM(D37:I37)</x:f>
        <x:v>7046</x:v>
      </x:c>
      <x:c r="M37" s="39" t="n">
        <x:f>IFERROR(F37/L37,0)</x:f>
        <x:v>0.3210332103321033</x:v>
      </x:c>
      <x:c r="N37" s="38" t="str">
        <x:f>IF(L37&gt;='Lookups &amp; Notes'!$E$4,"High Value","Standard")</x:f>
        <x:v>Standard</x:v>
      </x:c>
    </x:row>
    <x:row r="38">
      <x:c r="A38" s="38" t="str">
        <x:v>CUST-036</x:v>
      </x:c>
      <x:c r="B38" s="38" t="n">
        <x:f>'Raw Data'!A38</x:f>
        <x:v>2</x:v>
      </x:c>
      <x:c r="C38" s="38" t="n">
        <x:f>'Raw Data'!B38</x:f>
        <x:v>3</x:v>
      </x:c>
      <x:c r="D38" s="10" t="n">
        <x:f>'Raw Data'!C38</x:f>
        <x:v>688</x:v>
      </x:c>
      <x:c r="E38" s="10" t="n">
        <x:f>'Raw Data'!D38</x:f>
        <x:v>5491</x:v>
      </x:c>
      <x:c r="F38" s="10" t="n">
        <x:f>'Raw Data'!E38</x:f>
        <x:v>11091</x:v>
      </x:c>
      <x:c r="G38" s="10" t="n">
        <x:f>'Raw Data'!F38</x:f>
        <x:v>833</x:v>
      </x:c>
      <x:c r="H38" s="10" t="n">
        <x:f>'Raw Data'!G38</x:f>
        <x:v>4239</x:v>
      </x:c>
      <x:c r="I38" s="10" t="n">
        <x:f>'Raw Data'!H38</x:f>
        <x:v>436</x:v>
      </x:c>
      <x:c r="J38" s="10" t="str">
        <x:f>VLOOKUP(B38,'Lookups &amp; Notes'!$A$4:$B$5,2,FALSE)</x:f>
        <x:v>Retail</x:v>
      </x:c>
      <x:c r="K38" s="10" t="str">
        <x:f>VLOOKUP(C38,'Lookups &amp; Notes'!$A$8:$B$10,2,FALSE)</x:f>
        <x:v>Other</x:v>
      </x:c>
      <x:c r="L38" s="10" t="n">
        <x:f>SUM(D38:I38)</x:f>
        <x:v>22778</x:v>
      </x:c>
      <x:c r="M38" s="39" t="n">
        <x:f>IFERROR(F38/L38,0)</x:f>
        <x:v>0.486917200807797</x:v>
      </x:c>
      <x:c r="N38" s="38" t="str">
        <x:f>IF(L38&gt;='Lookups &amp; Notes'!$E$4,"High Value","Standard")</x:f>
        <x:v>Standard</x:v>
      </x:c>
    </x:row>
    <x:row r="39">
      <x:c r="A39" s="38" t="str">
        <x:v>CUST-037</x:v>
      </x:c>
      <x:c r="B39" s="38" t="n">
        <x:f>'Raw Data'!A39</x:f>
        <x:v>1</x:v>
      </x:c>
      <x:c r="C39" s="38" t="n">
        <x:f>'Raw Data'!B39</x:f>
        <x:v>3</x:v>
      </x:c>
      <x:c r="D39" s="10" t="n">
        <x:f>'Raw Data'!C39</x:f>
        <x:v>29955</x:v>
      </x:c>
      <x:c r="E39" s="10" t="n">
        <x:f>'Raw Data'!D39</x:f>
        <x:v>4362</x:v>
      </x:c>
      <x:c r="F39" s="10" t="n">
        <x:f>'Raw Data'!E39</x:f>
        <x:v>5428</x:v>
      </x:c>
      <x:c r="G39" s="10" t="n">
        <x:f>'Raw Data'!F39</x:f>
        <x:v>1729</x:v>
      </x:c>
      <x:c r="H39" s="10" t="n">
        <x:f>'Raw Data'!G39</x:f>
        <x:v>862</x:v>
      </x:c>
      <x:c r="I39" s="10" t="n">
        <x:f>'Raw Data'!H39</x:f>
        <x:v>4626</x:v>
      </x:c>
      <x:c r="J39" s="10" t="str">
        <x:f>VLOOKUP(B39,'Lookups &amp; Notes'!$A$4:$B$5,2,FALSE)</x:f>
        <x:v>Horeca</x:v>
      </x:c>
      <x:c r="K39" s="10" t="str">
        <x:f>VLOOKUP(C39,'Lookups &amp; Notes'!$A$8:$B$10,2,FALSE)</x:f>
        <x:v>Other</x:v>
      </x:c>
      <x:c r="L39" s="10" t="n">
        <x:f>SUM(D39:I39)</x:f>
        <x:v>46962</x:v>
      </x:c>
      <x:c r="M39" s="39" t="n">
        <x:f>IFERROR(F39/L39,0)</x:f>
        <x:v>0.11558281163493889</x:v>
      </x:c>
      <x:c r="N39" s="38" t="str">
        <x:f>IF(L39&gt;='Lookups &amp; Notes'!$E$4,"High Value","Standard")</x:f>
        <x:v>High Value</x:v>
      </x:c>
    </x:row>
    <x:row r="40">
      <x:c r="A40" s="38" t="str">
        <x:v>CUST-038</x:v>
      </x:c>
      <x:c r="B40" s="38" t="n">
        <x:f>'Raw Data'!A40</x:f>
        <x:v>2</x:v>
      </x:c>
      <x:c r="C40" s="38" t="n">
        <x:f>'Raw Data'!B40</x:f>
        <x:v>3</x:v>
      </x:c>
      <x:c r="D40" s="10" t="n">
        <x:f>'Raw Data'!C40</x:f>
        <x:v>15168</x:v>
      </x:c>
      <x:c r="E40" s="10" t="n">
        <x:f>'Raw Data'!D40</x:f>
        <x:v>10556</x:v>
      </x:c>
      <x:c r="F40" s="10" t="n">
        <x:f>'Raw Data'!E40</x:f>
        <x:v>12477</x:v>
      </x:c>
      <x:c r="G40" s="10" t="n">
        <x:f>'Raw Data'!F40</x:f>
        <x:v>1920</x:v>
      </x:c>
      <x:c r="H40" s="10" t="n">
        <x:f>'Raw Data'!G40</x:f>
        <x:v>6506</x:v>
      </x:c>
      <x:c r="I40" s="10" t="n">
        <x:f>'Raw Data'!H40</x:f>
        <x:v>714</x:v>
      </x:c>
      <x:c r="J40" s="10" t="str">
        <x:f>VLOOKUP(B40,'Lookups &amp; Notes'!$A$4:$B$5,2,FALSE)</x:f>
        <x:v>Retail</x:v>
      </x:c>
      <x:c r="K40" s="10" t="str">
        <x:f>VLOOKUP(C40,'Lookups &amp; Notes'!$A$8:$B$10,2,FALSE)</x:f>
        <x:v>Other</x:v>
      </x:c>
      <x:c r="L40" s="10" t="n">
        <x:f>SUM(D40:I40)</x:f>
        <x:v>47341</x:v>
      </x:c>
      <x:c r="M40" s="39" t="n">
        <x:f>IFERROR(F40/L40,0)</x:f>
        <x:v>0.26355590291713316</x:v>
      </x:c>
      <x:c r="N40" s="38" t="str">
        <x:f>IF(L40&gt;='Lookups &amp; Notes'!$E$4,"High Value","Standard")</x:f>
        <x:v>High Value</x:v>
      </x:c>
    </x:row>
    <x:row r="41">
      <x:c r="A41" s="38" t="str">
        <x:v>CUST-039</x:v>
      </x:c>
      <x:c r="B41" s="38" t="n">
        <x:f>'Raw Data'!A41</x:f>
        <x:v>2</x:v>
      </x:c>
      <x:c r="C41" s="38" t="n">
        <x:f>'Raw Data'!B41</x:f>
        <x:v>3</x:v>
      </x:c>
      <x:c r="D41" s="10" t="n">
        <x:f>'Raw Data'!C41</x:f>
        <x:v>4591</x:v>
      </x:c>
      <x:c r="E41" s="10" t="n">
        <x:f>'Raw Data'!D41</x:f>
        <x:v>15729</x:v>
      </x:c>
      <x:c r="F41" s="10" t="n">
        <x:f>'Raw Data'!E41</x:f>
        <x:v>16709</x:v>
      </x:c>
      <x:c r="G41" s="10" t="n">
        <x:f>'Raw Data'!F41</x:f>
        <x:v>33</x:v>
      </x:c>
      <x:c r="H41" s="10" t="n">
        <x:f>'Raw Data'!G41</x:f>
        <x:v>6956</x:v>
      </x:c>
      <x:c r="I41" s="10" t="n">
        <x:f>'Raw Data'!H41</x:f>
        <x:v>433</x:v>
      </x:c>
      <x:c r="J41" s="10" t="str">
        <x:f>VLOOKUP(B41,'Lookups &amp; Notes'!$A$4:$B$5,2,FALSE)</x:f>
        <x:v>Retail</x:v>
      </x:c>
      <x:c r="K41" s="10" t="str">
        <x:f>VLOOKUP(C41,'Lookups &amp; Notes'!$A$8:$B$10,2,FALSE)</x:f>
        <x:v>Other</x:v>
      </x:c>
      <x:c r="L41" s="10" t="n">
        <x:f>SUM(D41:I41)</x:f>
        <x:v>44451</x:v>
      </x:c>
      <x:c r="M41" s="39" t="n">
        <x:f>IFERROR(F41/L41,0)</x:f>
        <x:v>0.3758970551843603</x:v>
      </x:c>
      <x:c r="N41" s="38" t="str">
        <x:f>IF(L41&gt;='Lookups &amp; Notes'!$E$4,"High Value","Standard")</x:f>
        <x:v>High Value</x:v>
      </x:c>
    </x:row>
    <x:row r="42">
      <x:c r="A42" s="38" t="str">
        <x:v>CUST-040</x:v>
      </x:c>
      <x:c r="B42" s="38" t="n">
        <x:f>'Raw Data'!A42</x:f>
        <x:v>1</x:v>
      </x:c>
      <x:c r="C42" s="38" t="n">
        <x:f>'Raw Data'!B42</x:f>
        <x:v>3</x:v>
      </x:c>
      <x:c r="D42" s="10" t="n">
        <x:f>'Raw Data'!C42</x:f>
        <x:v>56159</x:v>
      </x:c>
      <x:c r="E42" s="10" t="n">
        <x:f>'Raw Data'!D42</x:f>
        <x:v>555</x:v>
      </x:c>
      <x:c r="F42" s="10" t="n">
        <x:f>'Raw Data'!E42</x:f>
        <x:v>902</x:v>
      </x:c>
      <x:c r="G42" s="10" t="n">
        <x:f>'Raw Data'!F42</x:f>
        <x:v>10002</x:v>
      </x:c>
      <x:c r="H42" s="10" t="n">
        <x:f>'Raw Data'!G42</x:f>
        <x:v>212</x:v>
      </x:c>
      <x:c r="I42" s="10" t="n">
        <x:f>'Raw Data'!H42</x:f>
        <x:v>2916</x:v>
      </x:c>
      <x:c r="J42" s="10" t="str">
        <x:f>VLOOKUP(B42,'Lookups &amp; Notes'!$A$4:$B$5,2,FALSE)</x:f>
        <x:v>Horeca</x:v>
      </x:c>
      <x:c r="K42" s="10" t="str">
        <x:f>VLOOKUP(C42,'Lookups &amp; Notes'!$A$8:$B$10,2,FALSE)</x:f>
        <x:v>Other</x:v>
      </x:c>
      <x:c r="L42" s="10" t="n">
        <x:f>SUM(D42:I42)</x:f>
        <x:v>70746</x:v>
      </x:c>
      <x:c r="M42" s="39" t="n">
        <x:f>IFERROR(F42/L42,0)</x:f>
        <x:v>0.012749837446640093</x:v>
      </x:c>
      <x:c r="N42" s="38" t="str">
        <x:f>IF(L42&gt;='Lookups &amp; Notes'!$E$4,"High Value","Standard")</x:f>
        <x:v>High Value</x:v>
      </x:c>
    </x:row>
    <x:row r="43">
      <x:c r="A43" s="38" t="str">
        <x:v>CUST-041</x:v>
      </x:c>
      <x:c r="B43" s="38" t="n">
        <x:f>'Raw Data'!A43</x:f>
        <x:v>1</x:v>
      </x:c>
      <x:c r="C43" s="38" t="n">
        <x:f>'Raw Data'!B43</x:f>
        <x:v>3</x:v>
      </x:c>
      <x:c r="D43" s="10" t="n">
        <x:f>'Raw Data'!C43</x:f>
        <x:v>24025</x:v>
      </x:c>
      <x:c r="E43" s="10" t="n">
        <x:f>'Raw Data'!D43</x:f>
        <x:v>4332</x:v>
      </x:c>
      <x:c r="F43" s="10" t="n">
        <x:f>'Raw Data'!E43</x:f>
        <x:v>4757</x:v>
      </x:c>
      <x:c r="G43" s="10" t="n">
        <x:f>'Raw Data'!F43</x:f>
        <x:v>9510</x:v>
      </x:c>
      <x:c r="H43" s="10" t="n">
        <x:f>'Raw Data'!G43</x:f>
        <x:v>1145</x:v>
      </x:c>
      <x:c r="I43" s="10" t="n">
        <x:f>'Raw Data'!H43</x:f>
        <x:v>5864</x:v>
      </x:c>
      <x:c r="J43" s="10" t="str">
        <x:f>VLOOKUP(B43,'Lookups &amp; Notes'!$A$4:$B$5,2,FALSE)</x:f>
        <x:v>Horeca</x:v>
      </x:c>
      <x:c r="K43" s="10" t="str">
        <x:f>VLOOKUP(C43,'Lookups &amp; Notes'!$A$8:$B$10,2,FALSE)</x:f>
        <x:v>Other</x:v>
      </x:c>
      <x:c r="L43" s="10" t="n">
        <x:f>SUM(D43:I43)</x:f>
        <x:v>49633</x:v>
      </x:c>
      <x:c r="M43" s="39" t="n">
        <x:f>IFERROR(F43/L43,0)</x:f>
        <x:v>0.09584349122559588</x:v>
      </x:c>
      <x:c r="N43" s="38" t="str">
        <x:f>IF(L43&gt;='Lookups &amp; Notes'!$E$4,"High Value","Standard")</x:f>
        <x:v>High Value</x:v>
      </x:c>
    </x:row>
    <x:row r="44">
      <x:c r="A44" s="38" t="str">
        <x:v>CUST-042</x:v>
      </x:c>
      <x:c r="B44" s="38" t="n">
        <x:f>'Raw Data'!A44</x:f>
        <x:v>1</x:v>
      </x:c>
      <x:c r="C44" s="38" t="n">
        <x:f>'Raw Data'!B44</x:f>
        <x:v>3</x:v>
      </x:c>
      <x:c r="D44" s="10" t="n">
        <x:f>'Raw Data'!C44</x:f>
        <x:v>19176</x:v>
      </x:c>
      <x:c r="E44" s="10" t="n">
        <x:f>'Raw Data'!D44</x:f>
        <x:v>3065</x:v>
      </x:c>
      <x:c r="F44" s="10" t="n">
        <x:f>'Raw Data'!E44</x:f>
        <x:v>5956</x:v>
      </x:c>
      <x:c r="G44" s="10" t="n">
        <x:f>'Raw Data'!F44</x:f>
        <x:v>2033</x:v>
      </x:c>
      <x:c r="H44" s="10" t="n">
        <x:f>'Raw Data'!G44</x:f>
        <x:v>2575</x:v>
      </x:c>
      <x:c r="I44" s="10" t="n">
        <x:f>'Raw Data'!H44</x:f>
        <x:v>2802</x:v>
      </x:c>
      <x:c r="J44" s="10" t="str">
        <x:f>VLOOKUP(B44,'Lookups &amp; Notes'!$A$4:$B$5,2,FALSE)</x:f>
        <x:v>Horeca</x:v>
      </x:c>
      <x:c r="K44" s="10" t="str">
        <x:f>VLOOKUP(C44,'Lookups &amp; Notes'!$A$8:$B$10,2,FALSE)</x:f>
        <x:v>Other</x:v>
      </x:c>
      <x:c r="L44" s="10" t="n">
        <x:f>SUM(D44:I44)</x:f>
        <x:v>35607</x:v>
      </x:c>
      <x:c r="M44" s="39" t="n">
        <x:f>IFERROR(F44/L44,0)</x:f>
        <x:v>0.16727048052349258</x:v>
      </x:c>
      <x:c r="N44" s="38" t="str">
        <x:f>IF(L44&gt;='Lookups &amp; Notes'!$E$4,"High Value","Standard")</x:f>
        <x:v>High Value</x:v>
      </x:c>
    </x:row>
    <x:row r="45">
      <x:c r="A45" s="38" t="str">
        <x:v>CUST-043</x:v>
      </x:c>
      <x:c r="B45" s="38" t="n">
        <x:f>'Raw Data'!A45</x:f>
        <x:v>2</x:v>
      </x:c>
      <x:c r="C45" s="38" t="n">
        <x:f>'Raw Data'!B45</x:f>
        <x:v>3</x:v>
      </x:c>
      <x:c r="D45" s="10" t="n">
        <x:f>'Raw Data'!C45</x:f>
        <x:v>10850</x:v>
      </x:c>
      <x:c r="E45" s="10" t="n">
        <x:f>'Raw Data'!D45</x:f>
        <x:v>7555</x:v>
      </x:c>
      <x:c r="F45" s="10" t="n">
        <x:f>'Raw Data'!E45</x:f>
        <x:v>14961</x:v>
      </x:c>
      <x:c r="G45" s="10" t="n">
        <x:f>'Raw Data'!F45</x:f>
        <x:v>188</x:v>
      </x:c>
      <x:c r="H45" s="10" t="n">
        <x:f>'Raw Data'!G45</x:f>
        <x:v>6899</x:v>
      </x:c>
      <x:c r="I45" s="10" t="n">
        <x:f>'Raw Data'!H45</x:f>
        <x:v>46</x:v>
      </x:c>
      <x:c r="J45" s="10" t="str">
        <x:f>VLOOKUP(B45,'Lookups &amp; Notes'!$A$4:$B$5,2,FALSE)</x:f>
        <x:v>Retail</x:v>
      </x:c>
      <x:c r="K45" s="10" t="str">
        <x:f>VLOOKUP(C45,'Lookups &amp; Notes'!$A$8:$B$10,2,FALSE)</x:f>
        <x:v>Other</x:v>
      </x:c>
      <x:c r="L45" s="10" t="n">
        <x:f>SUM(D45:I45)</x:f>
        <x:v>40499</x:v>
      </x:c>
      <x:c r="M45" s="39" t="n">
        <x:f>IFERROR(F45/L45,0)</x:f>
        <x:v>0.3694165288031803</x:v>
      </x:c>
      <x:c r="N45" s="38" t="str">
        <x:f>IF(L45&gt;='Lookups &amp; Notes'!$E$4,"High Value","Standard")</x:f>
        <x:v>High Value</x:v>
      </x:c>
    </x:row>
    <x:row r="46">
      <x:c r="A46" s="38" t="str">
        <x:v>CUST-044</x:v>
      </x:c>
      <x:c r="B46" s="38" t="n">
        <x:f>'Raw Data'!A46</x:f>
        <x:v>2</x:v>
      </x:c>
      <x:c r="C46" s="38" t="n">
        <x:f>'Raw Data'!B46</x:f>
        <x:v>3</x:v>
      </x:c>
      <x:c r="D46" s="10" t="n">
        <x:f>'Raw Data'!C46</x:f>
        <x:v>630</x:v>
      </x:c>
      <x:c r="E46" s="10" t="n">
        <x:f>'Raw Data'!D46</x:f>
        <x:v>11095</x:v>
      </x:c>
      <x:c r="F46" s="10" t="n">
        <x:f>'Raw Data'!E46</x:f>
        <x:v>23998</x:v>
      </x:c>
      <x:c r="G46" s="10" t="n">
        <x:f>'Raw Data'!F46</x:f>
        <x:v>787</x:v>
      </x:c>
      <x:c r="H46" s="10" t="n">
        <x:f>'Raw Data'!G46</x:f>
        <x:v>9529</x:v>
      </x:c>
      <x:c r="I46" s="10" t="n">
        <x:f>'Raw Data'!H46</x:f>
        <x:v>72</x:v>
      </x:c>
      <x:c r="J46" s="10" t="str">
        <x:f>VLOOKUP(B46,'Lookups &amp; Notes'!$A$4:$B$5,2,FALSE)</x:f>
        <x:v>Retail</x:v>
      </x:c>
      <x:c r="K46" s="10" t="str">
        <x:f>VLOOKUP(C46,'Lookups &amp; Notes'!$A$8:$B$10,2,FALSE)</x:f>
        <x:v>Other</x:v>
      </x:c>
      <x:c r="L46" s="10" t="n">
        <x:f>SUM(D46:I46)</x:f>
        <x:v>46111</x:v>
      </x:c>
      <x:c r="M46" s="39" t="n">
        <x:f>IFERROR(F46/L46,0)</x:f>
        <x:v>0.5204398082886946</x:v>
      </x:c>
      <x:c r="N46" s="38" t="str">
        <x:f>IF(L46&gt;='Lookups &amp; Notes'!$E$4,"High Value","Standard")</x:f>
        <x:v>High Value</x:v>
      </x:c>
    </x:row>
    <x:row r="47">
      <x:c r="A47" s="38" t="str">
        <x:v>CUST-045</x:v>
      </x:c>
      <x:c r="B47" s="38" t="n">
        <x:f>'Raw Data'!A47</x:f>
        <x:v>2</x:v>
      </x:c>
      <x:c r="C47" s="38" t="n">
        <x:f>'Raw Data'!B47</x:f>
        <x:v>3</x:v>
      </x:c>
      <x:c r="D47" s="10" t="n">
        <x:f>'Raw Data'!C47</x:f>
        <x:v>9670</x:v>
      </x:c>
      <x:c r="E47" s="10" t="n">
        <x:f>'Raw Data'!D47</x:f>
        <x:v>7027</x:v>
      </x:c>
      <x:c r="F47" s="10" t="n">
        <x:f>'Raw Data'!E47</x:f>
        <x:v>10471</x:v>
      </x:c>
      <x:c r="G47" s="10" t="n">
        <x:f>'Raw Data'!F47</x:f>
        <x:v>541</x:v>
      </x:c>
      <x:c r="H47" s="10" t="n">
        <x:f>'Raw Data'!G47</x:f>
        <x:v>4618</x:v>
      </x:c>
      <x:c r="I47" s="10" t="n">
        <x:f>'Raw Data'!H47</x:f>
        <x:v>65</x:v>
      </x:c>
      <x:c r="J47" s="10" t="str">
        <x:f>VLOOKUP(B47,'Lookups &amp; Notes'!$A$4:$B$5,2,FALSE)</x:f>
        <x:v>Retail</x:v>
      </x:c>
      <x:c r="K47" s="10" t="str">
        <x:f>VLOOKUP(C47,'Lookups &amp; Notes'!$A$8:$B$10,2,FALSE)</x:f>
        <x:v>Other</x:v>
      </x:c>
      <x:c r="L47" s="10" t="n">
        <x:f>SUM(D47:I47)</x:f>
        <x:v>32392</x:v>
      </x:c>
      <x:c r="M47" s="39" t="n">
        <x:f>IFERROR(F47/L47,0)</x:f>
        <x:v>0.3232588293405779</x:v>
      </x:c>
      <x:c r="N47" s="38" t="str">
        <x:f>IF(L47&gt;='Lookups &amp; Notes'!$E$4,"High Value","Standard")</x:f>
        <x:v>High Value</x:v>
      </x:c>
    </x:row>
    <x:row r="48">
      <x:c r="A48" s="38" t="str">
        <x:v>CUST-046</x:v>
      </x:c>
      <x:c r="B48" s="38" t="n">
        <x:f>'Raw Data'!A48</x:f>
        <x:v>2</x:v>
      </x:c>
      <x:c r="C48" s="38" t="n">
        <x:f>'Raw Data'!B48</x:f>
        <x:v>3</x:v>
      </x:c>
      <x:c r="D48" s="10" t="n">
        <x:f>'Raw Data'!C48</x:f>
        <x:v>5181</x:v>
      </x:c>
      <x:c r="E48" s="10" t="n">
        <x:f>'Raw Data'!D48</x:f>
        <x:v>22044</x:v>
      </x:c>
      <x:c r="F48" s="10" t="n">
        <x:f>'Raw Data'!E48</x:f>
        <x:v>21531</x:v>
      </x:c>
      <x:c r="G48" s="10" t="n">
        <x:f>'Raw Data'!F48</x:f>
        <x:v>1740</x:v>
      </x:c>
      <x:c r="H48" s="10" t="n">
        <x:f>'Raw Data'!G48</x:f>
        <x:v>7353</x:v>
      </x:c>
      <x:c r="I48" s="10" t="n">
        <x:f>'Raw Data'!H48</x:f>
        <x:v>4985</x:v>
      </x:c>
      <x:c r="J48" s="10" t="str">
        <x:f>VLOOKUP(B48,'Lookups &amp; Notes'!$A$4:$B$5,2,FALSE)</x:f>
        <x:v>Retail</x:v>
      </x:c>
      <x:c r="K48" s="10" t="str">
        <x:f>VLOOKUP(C48,'Lookups &amp; Notes'!$A$8:$B$10,2,FALSE)</x:f>
        <x:v>Other</x:v>
      </x:c>
      <x:c r="L48" s="10" t="n">
        <x:f>SUM(D48:I48)</x:f>
        <x:v>62834</x:v>
      </x:c>
      <x:c r="M48" s="39" t="n">
        <x:f>IFERROR(F48/L48,0)</x:f>
        <x:v>0.3426647993124741</x:v>
      </x:c>
      <x:c r="N48" s="38" t="str">
        <x:f>IF(L48&gt;='Lookups &amp; Notes'!$E$4,"High Value","Standard")</x:f>
        <x:v>High Value</x:v>
      </x:c>
    </x:row>
    <x:row r="49">
      <x:c r="A49" s="38" t="str">
        <x:v>CUST-047</x:v>
      </x:c>
      <x:c r="B49" s="38" t="n">
        <x:f>'Raw Data'!A49</x:f>
        <x:v>2</x:v>
      </x:c>
      <x:c r="C49" s="38" t="n">
        <x:f>'Raw Data'!B49</x:f>
        <x:v>3</x:v>
      </x:c>
      <x:c r="D49" s="10" t="n">
        <x:f>'Raw Data'!C49</x:f>
        <x:v>3103</x:v>
      </x:c>
      <x:c r="E49" s="10" t="n">
        <x:f>'Raw Data'!D49</x:f>
        <x:v>14069</x:v>
      </x:c>
      <x:c r="F49" s="10" t="n">
        <x:f>'Raw Data'!E49</x:f>
        <x:v>21955</x:v>
      </x:c>
      <x:c r="G49" s="10" t="n">
        <x:f>'Raw Data'!F49</x:f>
        <x:v>1668</x:v>
      </x:c>
      <x:c r="H49" s="10" t="n">
        <x:f>'Raw Data'!G49</x:f>
        <x:v>6792</x:v>
      </x:c>
      <x:c r="I49" s="10" t="n">
        <x:f>'Raw Data'!H49</x:f>
        <x:v>1452</x:v>
      </x:c>
      <x:c r="J49" s="10" t="str">
        <x:f>VLOOKUP(B49,'Lookups &amp; Notes'!$A$4:$B$5,2,FALSE)</x:f>
        <x:v>Retail</x:v>
      </x:c>
      <x:c r="K49" s="10" t="str">
        <x:f>VLOOKUP(C49,'Lookups &amp; Notes'!$A$8:$B$10,2,FALSE)</x:f>
        <x:v>Other</x:v>
      </x:c>
      <x:c r="L49" s="10" t="n">
        <x:f>SUM(D49:I49)</x:f>
        <x:v>49039</x:v>
      </x:c>
      <x:c r="M49" s="39" t="n">
        <x:f>IFERROR(F49/L49,0)</x:f>
        <x:v>0.44770488794632846</x:v>
      </x:c>
      <x:c r="N49" s="38" t="str">
        <x:f>IF(L49&gt;='Lookups &amp; Notes'!$E$4,"High Value","Standard")</x:f>
        <x:v>High Value</x:v>
      </x:c>
    </x:row>
    <x:row r="50">
      <x:c r="A50" s="38" t="str">
        <x:v>CUST-048</x:v>
      </x:c>
      <x:c r="B50" s="38" t="n">
        <x:f>'Raw Data'!A50</x:f>
        <x:v>2</x:v>
      </x:c>
      <x:c r="C50" s="38" t="n">
        <x:f>'Raw Data'!B50</x:f>
        <x:v>3</x:v>
      </x:c>
      <x:c r="D50" s="10" t="n">
        <x:f>'Raw Data'!C50</x:f>
        <x:v>44466</x:v>
      </x:c>
      <x:c r="E50" s="10" t="n">
        <x:f>'Raw Data'!D50</x:f>
        <x:v>54259</x:v>
      </x:c>
      <x:c r="F50" s="10" t="n">
        <x:f>'Raw Data'!E50</x:f>
        <x:v>55571</x:v>
      </x:c>
      <x:c r="G50" s="10" t="n">
        <x:f>'Raw Data'!F50</x:f>
        <x:v>7782</x:v>
      </x:c>
      <x:c r="H50" s="10" t="n">
        <x:f>'Raw Data'!G50</x:f>
        <x:v>24171</x:v>
      </x:c>
      <x:c r="I50" s="10" t="n">
        <x:f>'Raw Data'!H50</x:f>
        <x:v>6465</x:v>
      </x:c>
      <x:c r="J50" s="10" t="str">
        <x:f>VLOOKUP(B50,'Lookups &amp; Notes'!$A$4:$B$5,2,FALSE)</x:f>
        <x:v>Retail</x:v>
      </x:c>
      <x:c r="K50" s="10" t="str">
        <x:f>VLOOKUP(C50,'Lookups &amp; Notes'!$A$8:$B$10,2,FALSE)</x:f>
        <x:v>Other</x:v>
      </x:c>
      <x:c r="L50" s="10" t="n">
        <x:f>SUM(D50:I50)</x:f>
        <x:v>192714</x:v>
      </x:c>
      <x:c r="M50" s="39" t="n">
        <x:f>IFERROR(F50/L50,0)</x:f>
        <x:v>0.2883599530911091</x:v>
      </x:c>
      <x:c r="N50" s="38" t="str">
        <x:f>IF(L50&gt;='Lookups &amp; Notes'!$E$4,"High Value","Standard")</x:f>
        <x:v>High Value</x:v>
      </x:c>
    </x:row>
    <x:row r="51">
      <x:c r="A51" s="38" t="str">
        <x:v>CUST-049</x:v>
      </x:c>
      <x:c r="B51" s="38" t="n">
        <x:f>'Raw Data'!A51</x:f>
        <x:v>2</x:v>
      </x:c>
      <x:c r="C51" s="38" t="n">
        <x:f>'Raw Data'!B51</x:f>
        <x:v>3</x:v>
      </x:c>
      <x:c r="D51" s="10" t="n">
        <x:f>'Raw Data'!C51</x:f>
        <x:v>11519</x:v>
      </x:c>
      <x:c r="E51" s="10" t="n">
        <x:f>'Raw Data'!D51</x:f>
        <x:v>6152</x:v>
      </x:c>
      <x:c r="F51" s="10" t="n">
        <x:f>'Raw Data'!E51</x:f>
        <x:v>10868</x:v>
      </x:c>
      <x:c r="G51" s="10" t="n">
        <x:f>'Raw Data'!F51</x:f>
        <x:v>584</x:v>
      </x:c>
      <x:c r="H51" s="10" t="n">
        <x:f>'Raw Data'!G51</x:f>
        <x:v>5121</x:v>
      </x:c>
      <x:c r="I51" s="10" t="n">
        <x:f>'Raw Data'!H51</x:f>
        <x:v>1476</x:v>
      </x:c>
      <x:c r="J51" s="10" t="str">
        <x:f>VLOOKUP(B51,'Lookups &amp; Notes'!$A$4:$B$5,2,FALSE)</x:f>
        <x:v>Retail</x:v>
      </x:c>
      <x:c r="K51" s="10" t="str">
        <x:f>VLOOKUP(C51,'Lookups &amp; Notes'!$A$8:$B$10,2,FALSE)</x:f>
        <x:v>Other</x:v>
      </x:c>
      <x:c r="L51" s="10" t="n">
        <x:f>SUM(D51:I51)</x:f>
        <x:v>35720</x:v>
      </x:c>
      <x:c r="M51" s="39" t="n">
        <x:f>IFERROR(F51/L51,0)</x:f>
        <x:v>0.30425531914893617</x:v>
      </x:c>
      <x:c r="N51" s="38" t="str">
        <x:f>IF(L51&gt;='Lookups &amp; Notes'!$E$4,"High Value","Standard")</x:f>
        <x:v>High Value</x:v>
      </x:c>
    </x:row>
    <x:row r="52">
      <x:c r="A52" s="38" t="str">
        <x:v>CUST-050</x:v>
      </x:c>
      <x:c r="B52" s="38" t="n">
        <x:f>'Raw Data'!A52</x:f>
        <x:v>2</x:v>
      </x:c>
      <x:c r="C52" s="38" t="n">
        <x:f>'Raw Data'!B52</x:f>
        <x:v>3</x:v>
      </x:c>
      <x:c r="D52" s="10" t="n">
        <x:f>'Raw Data'!C52</x:f>
        <x:v>4967</x:v>
      </x:c>
      <x:c r="E52" s="10" t="n">
        <x:f>'Raw Data'!D52</x:f>
        <x:v>21412</x:v>
      </x:c>
      <x:c r="F52" s="10" t="n">
        <x:f>'Raw Data'!E52</x:f>
        <x:v>28921</x:v>
      </x:c>
      <x:c r="G52" s="10" t="n">
        <x:f>'Raw Data'!F52</x:f>
        <x:v>1798</x:v>
      </x:c>
      <x:c r="H52" s="10" t="n">
        <x:f>'Raw Data'!G52</x:f>
        <x:v>13583</x:v>
      </x:c>
      <x:c r="I52" s="10" t="n">
        <x:f>'Raw Data'!H52</x:f>
        <x:v>1163</x:v>
      </x:c>
      <x:c r="J52" s="10" t="str">
        <x:f>VLOOKUP(B52,'Lookups &amp; Notes'!$A$4:$B$5,2,FALSE)</x:f>
        <x:v>Retail</x:v>
      </x:c>
      <x:c r="K52" s="10" t="str">
        <x:f>VLOOKUP(C52,'Lookups &amp; Notes'!$A$8:$B$10,2,FALSE)</x:f>
        <x:v>Other</x:v>
      </x:c>
      <x:c r="L52" s="10" t="n">
        <x:f>SUM(D52:I52)</x:f>
        <x:v>71844</x:v>
      </x:c>
      <x:c r="M52" s="39" t="n">
        <x:f>IFERROR(F52/L52,0)</x:f>
        <x:v>0.4025527531874617</x:v>
      </x:c>
      <x:c r="N52" s="38" t="str">
        <x:f>IF(L52&gt;='Lookups &amp; Notes'!$E$4,"High Value","Standard")</x:f>
        <x:v>High Value</x:v>
      </x:c>
    </x:row>
    <x:row r="53">
      <x:c r="A53" s="38" t="str">
        <x:v>CUST-051</x:v>
      </x:c>
      <x:c r="B53" s="38" t="n">
        <x:f>'Raw Data'!A53</x:f>
        <x:v>1</x:v>
      </x:c>
      <x:c r="C53" s="38" t="n">
        <x:f>'Raw Data'!B53</x:f>
        <x:v>3</x:v>
      </x:c>
      <x:c r="D53" s="10" t="n">
        <x:f>'Raw Data'!C53</x:f>
        <x:v>6269</x:v>
      </x:c>
      <x:c r="E53" s="10" t="n">
        <x:f>'Raw Data'!D53</x:f>
        <x:v>1095</x:v>
      </x:c>
      <x:c r="F53" s="10" t="n">
        <x:f>'Raw Data'!E53</x:f>
        <x:v>1980</x:v>
      </x:c>
      <x:c r="G53" s="10" t="n">
        <x:f>'Raw Data'!F53</x:f>
        <x:v>3860</x:v>
      </x:c>
      <x:c r="H53" s="10" t="n">
        <x:f>'Raw Data'!G53</x:f>
        <x:v>609</x:v>
      </x:c>
      <x:c r="I53" s="10" t="n">
        <x:f>'Raw Data'!H53</x:f>
        <x:v>2162</x:v>
      </x:c>
      <x:c r="J53" s="10" t="str">
        <x:f>VLOOKUP(B53,'Lookups &amp; Notes'!$A$4:$B$5,2,FALSE)</x:f>
        <x:v>Horeca</x:v>
      </x:c>
      <x:c r="K53" s="10" t="str">
        <x:f>VLOOKUP(C53,'Lookups &amp; Notes'!$A$8:$B$10,2,FALSE)</x:f>
        <x:v>Other</x:v>
      </x:c>
      <x:c r="L53" s="10" t="n">
        <x:f>SUM(D53:I53)</x:f>
        <x:v>15975</x:v>
      </x:c>
      <x:c r="M53" s="39" t="n">
        <x:f>IFERROR(F53/L53,0)</x:f>
        <x:v>0.12394366197183099</x:v>
      </x:c>
      <x:c r="N53" s="38" t="str">
        <x:f>IF(L53&gt;='Lookups &amp; Notes'!$E$4,"High Value","Standard")</x:f>
        <x:v>Standard</x:v>
      </x:c>
    </x:row>
    <x:row r="54">
      <x:c r="A54" s="38" t="str">
        <x:v>CUST-052</x:v>
      </x:c>
      <x:c r="B54" s="38" t="n">
        <x:f>'Raw Data'!A54</x:f>
        <x:v>1</x:v>
      </x:c>
      <x:c r="C54" s="38" t="n">
        <x:f>'Raw Data'!B54</x:f>
        <x:v>3</x:v>
      </x:c>
      <x:c r="D54" s="10" t="n">
        <x:f>'Raw Data'!C54</x:f>
        <x:v>3347</x:v>
      </x:c>
      <x:c r="E54" s="10" t="n">
        <x:f>'Raw Data'!D54</x:f>
        <x:v>4051</x:v>
      </x:c>
      <x:c r="F54" s="10" t="n">
        <x:f>'Raw Data'!E54</x:f>
        <x:v>6996</x:v>
      </x:c>
      <x:c r="G54" s="10" t="n">
        <x:f>'Raw Data'!F54</x:f>
        <x:v>239</x:v>
      </x:c>
      <x:c r="H54" s="10" t="n">
        <x:f>'Raw Data'!G54</x:f>
        <x:v>1538</x:v>
      </x:c>
      <x:c r="I54" s="10" t="n">
        <x:f>'Raw Data'!H54</x:f>
        <x:v>301</x:v>
      </x:c>
      <x:c r="J54" s="10" t="str">
        <x:f>VLOOKUP(B54,'Lookups &amp; Notes'!$A$4:$B$5,2,FALSE)</x:f>
        <x:v>Horeca</x:v>
      </x:c>
      <x:c r="K54" s="10" t="str">
        <x:f>VLOOKUP(C54,'Lookups &amp; Notes'!$A$8:$B$10,2,FALSE)</x:f>
        <x:v>Other</x:v>
      </x:c>
      <x:c r="L54" s="10" t="n">
        <x:f>SUM(D54:I54)</x:f>
        <x:v>16472</x:v>
      </x:c>
      <x:c r="M54" s="39" t="n">
        <x:f>IFERROR(F54/L54,0)</x:f>
        <x:v>0.42472073822243805</x:v>
      </x:c>
      <x:c r="N54" s="38" t="str">
        <x:f>IF(L54&gt;='Lookups &amp; Notes'!$E$4,"High Value","Standard")</x:f>
        <x:v>Standard</x:v>
      </x:c>
    </x:row>
    <x:row r="55">
      <x:c r="A55" s="38" t="str">
        <x:v>CUST-053</x:v>
      </x:c>
      <x:c r="B55" s="38" t="n">
        <x:f>'Raw Data'!A55</x:f>
        <x:v>2</x:v>
      </x:c>
      <x:c r="C55" s="38" t="n">
        <x:f>'Raw Data'!B55</x:f>
        <x:v>3</x:v>
      </x:c>
      <x:c r="D55" s="10" t="n">
        <x:f>'Raw Data'!C55</x:f>
        <x:v>40721</x:v>
      </x:c>
      <x:c r="E55" s="10" t="n">
        <x:f>'Raw Data'!D55</x:f>
        <x:v>3916</x:v>
      </x:c>
      <x:c r="F55" s="10" t="n">
        <x:f>'Raw Data'!E55</x:f>
        <x:v>5876</x:v>
      </x:c>
      <x:c r="G55" s="10" t="n">
        <x:f>'Raw Data'!F55</x:f>
        <x:v>532</x:v>
      </x:c>
      <x:c r="H55" s="10" t="n">
        <x:f>'Raw Data'!G55</x:f>
        <x:v>2587</x:v>
      </x:c>
      <x:c r="I55" s="10" t="n">
        <x:f>'Raw Data'!H55</x:f>
        <x:v>1278</x:v>
      </x:c>
      <x:c r="J55" s="10" t="str">
        <x:f>VLOOKUP(B55,'Lookups &amp; Notes'!$A$4:$B$5,2,FALSE)</x:f>
        <x:v>Retail</x:v>
      </x:c>
      <x:c r="K55" s="10" t="str">
        <x:f>VLOOKUP(C55,'Lookups &amp; Notes'!$A$8:$B$10,2,FALSE)</x:f>
        <x:v>Other</x:v>
      </x:c>
      <x:c r="L55" s="10" t="n">
        <x:f>SUM(D55:I55)</x:f>
        <x:v>54910</x:v>
      </x:c>
      <x:c r="M55" s="39" t="n">
        <x:f>IFERROR(F55/L55,0)</x:f>
        <x:v>0.10701147331997815</x:v>
      </x:c>
      <x:c r="N55" s="38" t="str">
        <x:f>IF(L55&gt;='Lookups &amp; Notes'!$E$4,"High Value","Standard")</x:f>
        <x:v>High Value</x:v>
      </x:c>
    </x:row>
    <x:row r="56">
      <x:c r="A56" s="38" t="str">
        <x:v>CUST-054</x:v>
      </x:c>
      <x:c r="B56" s="38" t="n">
        <x:f>'Raw Data'!A56</x:f>
        <x:v>2</x:v>
      </x:c>
      <x:c r="C56" s="38" t="n">
        <x:f>'Raw Data'!B56</x:f>
        <x:v>3</x:v>
      </x:c>
      <x:c r="D56" s="10" t="n">
        <x:f>'Raw Data'!C56</x:f>
        <x:v>491</x:v>
      </x:c>
      <x:c r="E56" s="10" t="n">
        <x:f>'Raw Data'!D56</x:f>
        <x:v>10473</x:v>
      </x:c>
      <x:c r="F56" s="10" t="n">
        <x:f>'Raw Data'!E56</x:f>
        <x:v>11532</x:v>
      </x:c>
      <x:c r="G56" s="10" t="n">
        <x:f>'Raw Data'!F56</x:f>
        <x:v>744</x:v>
      </x:c>
      <x:c r="H56" s="10" t="n">
        <x:f>'Raw Data'!G56</x:f>
        <x:v>5611</x:v>
      </x:c>
      <x:c r="I56" s="10" t="n">
        <x:f>'Raw Data'!H56</x:f>
        <x:v>224</x:v>
      </x:c>
      <x:c r="J56" s="10" t="str">
        <x:f>VLOOKUP(B56,'Lookups &amp; Notes'!$A$4:$B$5,2,FALSE)</x:f>
        <x:v>Retail</x:v>
      </x:c>
      <x:c r="K56" s="10" t="str">
        <x:f>VLOOKUP(C56,'Lookups &amp; Notes'!$A$8:$B$10,2,FALSE)</x:f>
        <x:v>Other</x:v>
      </x:c>
      <x:c r="L56" s="10" t="n">
        <x:f>SUM(D56:I56)</x:f>
        <x:v>29075</x:v>
      </x:c>
      <x:c r="M56" s="39" t="n">
        <x:f>IFERROR(F56/L56,0)</x:f>
        <x:v>0.39662940670679275</x:v>
      </x:c>
      <x:c r="N56" s="38" t="str">
        <x:f>IF(L56&gt;='Lookups &amp; Notes'!$E$4,"High Value","Standard")</x:f>
        <x:v>High Value</x:v>
      </x:c>
    </x:row>
    <x:row r="57">
      <x:c r="A57" s="38" t="str">
        <x:v>CUST-055</x:v>
      </x:c>
      <x:c r="B57" s="38" t="n">
        <x:f>'Raw Data'!A57</x:f>
        <x:v>1</x:v>
      </x:c>
      <x:c r="C57" s="38" t="n">
        <x:f>'Raw Data'!B57</x:f>
        <x:v>3</x:v>
      </x:c>
      <x:c r="D57" s="10" t="n">
        <x:f>'Raw Data'!C57</x:f>
        <x:v>27329</x:v>
      </x:c>
      <x:c r="E57" s="10" t="n">
        <x:f>'Raw Data'!D57</x:f>
        <x:v>1449</x:v>
      </x:c>
      <x:c r="F57" s="10" t="n">
        <x:f>'Raw Data'!E57</x:f>
        <x:v>1947</x:v>
      </x:c>
      <x:c r="G57" s="10" t="n">
        <x:f>'Raw Data'!F57</x:f>
        <x:v>2436</x:v>
      </x:c>
      <x:c r="H57" s="10" t="n">
        <x:f>'Raw Data'!G57</x:f>
        <x:v>204</x:v>
      </x:c>
      <x:c r="I57" s="10" t="n">
        <x:f>'Raw Data'!H57</x:f>
        <x:v>1333</x:v>
      </x:c>
      <x:c r="J57" s="10" t="str">
        <x:f>VLOOKUP(B57,'Lookups &amp; Notes'!$A$4:$B$5,2,FALSE)</x:f>
        <x:v>Horeca</x:v>
      </x:c>
      <x:c r="K57" s="10" t="str">
        <x:f>VLOOKUP(C57,'Lookups &amp; Notes'!$A$8:$B$10,2,FALSE)</x:f>
        <x:v>Other</x:v>
      </x:c>
      <x:c r="L57" s="10" t="n">
        <x:f>SUM(D57:I57)</x:f>
        <x:v>34698</x:v>
      </x:c>
      <x:c r="M57" s="39" t="n">
        <x:f>IFERROR(F57/L57,0)</x:f>
        <x:v>0.05611274425038907</x:v>
      </x:c>
      <x:c r="N57" s="38" t="str">
        <x:f>IF(L57&gt;='Lookups &amp; Notes'!$E$4,"High Value","Standard")</x:f>
        <x:v>High Value</x:v>
      </x:c>
    </x:row>
    <x:row r="58">
      <x:c r="A58" s="38" t="str">
        <x:v>CUST-056</x:v>
      </x:c>
      <x:c r="B58" s="38" t="n">
        <x:f>'Raw Data'!A58</x:f>
        <x:v>1</x:v>
      </x:c>
      <x:c r="C58" s="38" t="n">
        <x:f>'Raw Data'!B58</x:f>
        <x:v>3</x:v>
      </x:c>
      <x:c r="D58" s="10" t="n">
        <x:f>'Raw Data'!C58</x:f>
        <x:v>5264</x:v>
      </x:c>
      <x:c r="E58" s="10" t="n">
        <x:f>'Raw Data'!D58</x:f>
        <x:v>3683</x:v>
      </x:c>
      <x:c r="F58" s="10" t="n">
        <x:f>'Raw Data'!E58</x:f>
        <x:v>5005</x:v>
      </x:c>
      <x:c r="G58" s="10" t="n">
        <x:f>'Raw Data'!F58</x:f>
        <x:v>1057</x:v>
      </x:c>
      <x:c r="H58" s="10" t="n">
        <x:f>'Raw Data'!G58</x:f>
        <x:v>2024</x:v>
      </x:c>
      <x:c r="I58" s="10" t="n">
        <x:f>'Raw Data'!H58</x:f>
        <x:v>1130</x:v>
      </x:c>
      <x:c r="J58" s="10" t="str">
        <x:f>VLOOKUP(B58,'Lookups &amp; Notes'!$A$4:$B$5,2,FALSE)</x:f>
        <x:v>Horeca</x:v>
      </x:c>
      <x:c r="K58" s="10" t="str">
        <x:f>VLOOKUP(C58,'Lookups &amp; Notes'!$A$8:$B$10,2,FALSE)</x:f>
        <x:v>Other</x:v>
      </x:c>
      <x:c r="L58" s="10" t="n">
        <x:f>SUM(D58:I58)</x:f>
        <x:v>18163</x:v>
      </x:c>
      <x:c r="M58" s="39" t="n">
        <x:f>IFERROR(F58/L58,0)</x:f>
        <x:v>0.2755602048119804</x:v>
      </x:c>
      <x:c r="N58" s="38" t="str">
        <x:f>IF(L58&gt;='Lookups &amp; Notes'!$E$4,"High Value","Standard")</x:f>
        <x:v>Standard</x:v>
      </x:c>
    </x:row>
    <x:row r="59">
      <x:c r="A59" s="38" t="str">
        <x:v>CUST-057</x:v>
      </x:c>
      <x:c r="B59" s="38" t="n">
        <x:f>'Raw Data'!A59</x:f>
        <x:v>2</x:v>
      </x:c>
      <x:c r="C59" s="38" t="n">
        <x:f>'Raw Data'!B59</x:f>
        <x:v>3</x:v>
      </x:c>
      <x:c r="D59" s="10" t="n">
        <x:f>'Raw Data'!C59</x:f>
        <x:v>4098</x:v>
      </x:c>
      <x:c r="E59" s="10" t="n">
        <x:f>'Raw Data'!D59</x:f>
        <x:v>29892</x:v>
      </x:c>
      <x:c r="F59" s="10" t="n">
        <x:f>'Raw Data'!E59</x:f>
        <x:v>26866</x:v>
      </x:c>
      <x:c r="G59" s="10" t="n">
        <x:f>'Raw Data'!F59</x:f>
        <x:v>2616</x:v>
      </x:c>
      <x:c r="H59" s="10" t="n">
        <x:f>'Raw Data'!G59</x:f>
        <x:v>17740</x:v>
      </x:c>
      <x:c r="I59" s="10" t="n">
        <x:f>'Raw Data'!H59</x:f>
        <x:v>1340</x:v>
      </x:c>
      <x:c r="J59" s="10" t="str">
        <x:f>VLOOKUP(B59,'Lookups &amp; Notes'!$A$4:$B$5,2,FALSE)</x:f>
        <x:v>Retail</x:v>
      </x:c>
      <x:c r="K59" s="10" t="str">
        <x:f>VLOOKUP(C59,'Lookups &amp; Notes'!$A$8:$B$10,2,FALSE)</x:f>
        <x:v>Other</x:v>
      </x:c>
      <x:c r="L59" s="10" t="n">
        <x:f>SUM(D59:I59)</x:f>
        <x:v>82552</x:v>
      </x:c>
      <x:c r="M59" s="39" t="n">
        <x:f>IFERROR(F59/L59,0)</x:f>
        <x:v>0.3254433569144297</x:v>
      </x:c>
      <x:c r="N59" s="38" t="str">
        <x:f>IF(L59&gt;='Lookups &amp; Notes'!$E$4,"High Value","Standard")</x:f>
        <x:v>High Value</x:v>
      </x:c>
    </x:row>
    <x:row r="60">
      <x:c r="A60" s="38" t="str">
        <x:v>CUST-058</x:v>
      </x:c>
      <x:c r="B60" s="38" t="n">
        <x:f>'Raw Data'!A60</x:f>
        <x:v>2</x:v>
      </x:c>
      <x:c r="C60" s="38" t="n">
        <x:f>'Raw Data'!B60</x:f>
        <x:v>3</x:v>
      </x:c>
      <x:c r="D60" s="10" t="n">
        <x:f>'Raw Data'!C60</x:f>
        <x:v>5417</x:v>
      </x:c>
      <x:c r="E60" s="10" t="n">
        <x:f>'Raw Data'!D60</x:f>
        <x:v>9933</x:v>
      </x:c>
      <x:c r="F60" s="10" t="n">
        <x:f>'Raw Data'!E60</x:f>
        <x:v>10487</x:v>
      </x:c>
      <x:c r="G60" s="10" t="n">
        <x:f>'Raw Data'!F60</x:f>
        <x:v>38</x:v>
      </x:c>
      <x:c r="H60" s="10" t="n">
        <x:f>'Raw Data'!G60</x:f>
        <x:v>7572</x:v>
      </x:c>
      <x:c r="I60" s="10" t="n">
        <x:f>'Raw Data'!H60</x:f>
        <x:v>1282</x:v>
      </x:c>
      <x:c r="J60" s="10" t="str">
        <x:f>VLOOKUP(B60,'Lookups &amp; Notes'!$A$4:$B$5,2,FALSE)</x:f>
        <x:v>Retail</x:v>
      </x:c>
      <x:c r="K60" s="10" t="str">
        <x:f>VLOOKUP(C60,'Lookups &amp; Notes'!$A$8:$B$10,2,FALSE)</x:f>
        <x:v>Other</x:v>
      </x:c>
      <x:c r="L60" s="10" t="n">
        <x:f>SUM(D60:I60)</x:f>
        <x:v>34729</x:v>
      </x:c>
      <x:c r="M60" s="39" t="n">
        <x:f>IFERROR(F60/L60,0)</x:f>
        <x:v>0.3019666561087276</x:v>
      </x:c>
      <x:c r="N60" s="38" t="str">
        <x:f>IF(L60&gt;='Lookups &amp; Notes'!$E$4,"High Value","Standard")</x:f>
        <x:v>High Value</x:v>
      </x:c>
    </x:row>
    <x:row r="61">
      <x:c r="A61" s="38" t="str">
        <x:v>CUST-059</x:v>
      </x:c>
      <x:c r="B61" s="38" t="n">
        <x:f>'Raw Data'!A61</x:f>
        <x:v>1</x:v>
      </x:c>
      <x:c r="C61" s="38" t="n">
        <x:f>'Raw Data'!B61</x:f>
        <x:v>3</x:v>
      </x:c>
      <x:c r="D61" s="10" t="n">
        <x:f>'Raw Data'!C61</x:f>
        <x:v>13779</x:v>
      </x:c>
      <x:c r="E61" s="10" t="n">
        <x:f>'Raw Data'!D61</x:f>
        <x:v>1970</x:v>
      </x:c>
      <x:c r="F61" s="10" t="n">
        <x:f>'Raw Data'!E61</x:f>
        <x:v>1648</x:v>
      </x:c>
      <x:c r="G61" s="10" t="n">
        <x:f>'Raw Data'!F61</x:f>
        <x:v>596</x:v>
      </x:c>
      <x:c r="H61" s="10" t="n">
        <x:f>'Raw Data'!G61</x:f>
        <x:v>227</x:v>
      </x:c>
      <x:c r="I61" s="10" t="n">
        <x:f>'Raw Data'!H61</x:f>
        <x:v>436</x:v>
      </x:c>
      <x:c r="J61" s="10" t="str">
        <x:f>VLOOKUP(B61,'Lookups &amp; Notes'!$A$4:$B$5,2,FALSE)</x:f>
        <x:v>Horeca</x:v>
      </x:c>
      <x:c r="K61" s="10" t="str">
        <x:f>VLOOKUP(C61,'Lookups &amp; Notes'!$A$8:$B$10,2,FALSE)</x:f>
        <x:v>Other</x:v>
      </x:c>
      <x:c r="L61" s="10" t="n">
        <x:f>SUM(D61:I61)</x:f>
        <x:v>18656</x:v>
      </x:c>
      <x:c r="M61" s="39" t="n">
        <x:f>IFERROR(F61/L61,0)</x:f>
        <x:v>0.08833619210977701</x:v>
      </x:c>
      <x:c r="N61" s="38" t="str">
        <x:f>IF(L61&gt;='Lookups &amp; Notes'!$E$4,"High Value","Standard")</x:f>
        <x:v>Standard</x:v>
      </x:c>
    </x:row>
    <x:row r="62">
      <x:c r="A62" s="38" t="str">
        <x:v>CUST-060</x:v>
      </x:c>
      <x:c r="B62" s="38" t="n">
        <x:f>'Raw Data'!A62</x:f>
        <x:v>1</x:v>
      </x:c>
      <x:c r="C62" s="38" t="n">
        <x:f>'Raw Data'!B62</x:f>
        <x:v>3</x:v>
      </x:c>
      <x:c r="D62" s="10" t="n">
        <x:f>'Raw Data'!C62</x:f>
        <x:v>6137</x:v>
      </x:c>
      <x:c r="E62" s="10" t="n">
        <x:f>'Raw Data'!D62</x:f>
        <x:v>5360</x:v>
      </x:c>
      <x:c r="F62" s="10" t="n">
        <x:f>'Raw Data'!E62</x:f>
        <x:v>8040</x:v>
      </x:c>
      <x:c r="G62" s="10" t="n">
        <x:f>'Raw Data'!F62</x:f>
        <x:v>129</x:v>
      </x:c>
      <x:c r="H62" s="10" t="n">
        <x:f>'Raw Data'!G62</x:f>
        <x:v>3084</x:v>
      </x:c>
      <x:c r="I62" s="10" t="n">
        <x:f>'Raw Data'!H62</x:f>
        <x:v>1603</x:v>
      </x:c>
      <x:c r="J62" s="10" t="str">
        <x:f>VLOOKUP(B62,'Lookups &amp; Notes'!$A$4:$B$5,2,FALSE)</x:f>
        <x:v>Horeca</x:v>
      </x:c>
      <x:c r="K62" s="10" t="str">
        <x:f>VLOOKUP(C62,'Lookups &amp; Notes'!$A$8:$B$10,2,FALSE)</x:f>
        <x:v>Other</x:v>
      </x:c>
      <x:c r="L62" s="10" t="n">
        <x:f>SUM(D62:I62)</x:f>
        <x:v>24353</x:v>
      </x:c>
      <x:c r="M62" s="39" t="n">
        <x:f>IFERROR(F62/L62,0)</x:f>
        <x:v>0.3301441300866423</x:v>
      </x:c>
      <x:c r="N62" s="38" t="str">
        <x:f>IF(L62&gt;='Lookups &amp; Notes'!$E$4,"High Value","Standard")</x:f>
        <x:v>Standard</x:v>
      </x:c>
    </x:row>
    <x:row r="63">
      <x:c r="A63" s="38" t="str">
        <x:v>CUST-061</x:v>
      </x:c>
      <x:c r="B63" s="38" t="n">
        <x:f>'Raw Data'!A63</x:f>
        <x:v>2</x:v>
      </x:c>
      <x:c r="C63" s="38" t="n">
        <x:f>'Raw Data'!B63</x:f>
        <x:v>3</x:v>
      </x:c>
      <x:c r="D63" s="10" t="n">
        <x:f>'Raw Data'!C63</x:f>
        <x:v>8590</x:v>
      </x:c>
      <x:c r="E63" s="10" t="n">
        <x:f>'Raw Data'!D63</x:f>
        <x:v>3045</x:v>
      </x:c>
      <x:c r="F63" s="10" t="n">
        <x:f>'Raw Data'!E63</x:f>
        <x:v>7854</x:v>
      </x:c>
      <x:c r="G63" s="10" t="n">
        <x:f>'Raw Data'!F63</x:f>
        <x:v>96</x:v>
      </x:c>
      <x:c r="H63" s="10" t="n">
        <x:f>'Raw Data'!G63</x:f>
        <x:v>4095</x:v>
      </x:c>
      <x:c r="I63" s="10" t="n">
        <x:f>'Raw Data'!H63</x:f>
        <x:v>225</x:v>
      </x:c>
      <x:c r="J63" s="10" t="str">
        <x:f>VLOOKUP(B63,'Lookups &amp; Notes'!$A$4:$B$5,2,FALSE)</x:f>
        <x:v>Retail</x:v>
      </x:c>
      <x:c r="K63" s="10" t="str">
        <x:f>VLOOKUP(C63,'Lookups &amp; Notes'!$A$8:$B$10,2,FALSE)</x:f>
        <x:v>Other</x:v>
      </x:c>
      <x:c r="L63" s="10" t="n">
        <x:f>SUM(D63:I63)</x:f>
        <x:v>23905</x:v>
      </x:c>
      <x:c r="M63" s="39" t="n">
        <x:f>IFERROR(F63/L63,0)</x:f>
        <x:v>0.32855051244509514</x:v>
      </x:c>
      <x:c r="N63" s="38" t="str">
        <x:f>IF(L63&gt;='Lookups &amp; Notes'!$E$4,"High Value","Standard")</x:f>
        <x:v>Standard</x:v>
      </x:c>
    </x:row>
    <x:row r="64">
      <x:c r="A64" s="38" t="str">
        <x:v>CUST-062</x:v>
      </x:c>
      <x:c r="B64" s="38" t="n">
        <x:f>'Raw Data'!A64</x:f>
        <x:v>2</x:v>
      </x:c>
      <x:c r="C64" s="38" t="n">
        <x:f>'Raw Data'!B64</x:f>
        <x:v>3</x:v>
      </x:c>
      <x:c r="D64" s="10" t="n">
        <x:f>'Raw Data'!C64</x:f>
        <x:v>35942</x:v>
      </x:c>
      <x:c r="E64" s="10" t="n">
        <x:f>'Raw Data'!D64</x:f>
        <x:v>38369</x:v>
      </x:c>
      <x:c r="F64" s="10" t="n">
        <x:f>'Raw Data'!E64</x:f>
        <x:v>59598</x:v>
      </x:c>
      <x:c r="G64" s="10" t="n">
        <x:f>'Raw Data'!F64</x:f>
        <x:v>3254</x:v>
      </x:c>
      <x:c r="H64" s="10" t="n">
        <x:f>'Raw Data'!G64</x:f>
        <x:v>26701</x:v>
      </x:c>
      <x:c r="I64" s="10" t="n">
        <x:f>'Raw Data'!H64</x:f>
        <x:v>2017</x:v>
      </x:c>
      <x:c r="J64" s="10" t="str">
        <x:f>VLOOKUP(B64,'Lookups &amp; Notes'!$A$4:$B$5,2,FALSE)</x:f>
        <x:v>Retail</x:v>
      </x:c>
      <x:c r="K64" s="10" t="str">
        <x:f>VLOOKUP(C64,'Lookups &amp; Notes'!$A$8:$B$10,2,FALSE)</x:f>
        <x:v>Other</x:v>
      </x:c>
      <x:c r="L64" s="10" t="n">
        <x:f>SUM(D64:I64)</x:f>
        <x:v>165881</x:v>
      </x:c>
      <x:c r="M64" s="39" t="n">
        <x:f>IFERROR(F64/L64,0)</x:f>
        <x:v>0.35928165371561543</x:v>
      </x:c>
      <x:c r="N64" s="38" t="str">
        <x:f>IF(L64&gt;='Lookups &amp; Notes'!$E$4,"High Value","Standard")</x:f>
        <x:v>High Value</x:v>
      </x:c>
    </x:row>
    <x:row r="65">
      <x:c r="A65" s="38" t="str">
        <x:v>CUST-063</x:v>
      </x:c>
      <x:c r="B65" s="38" t="n">
        <x:f>'Raw Data'!A65</x:f>
        <x:v>2</x:v>
      </x:c>
      <x:c r="C65" s="38" t="n">
        <x:f>'Raw Data'!B65</x:f>
        <x:v>3</x:v>
      </x:c>
      <x:c r="D65" s="10" t="n">
        <x:f>'Raw Data'!C65</x:f>
        <x:v>7823</x:v>
      </x:c>
      <x:c r="E65" s="10" t="n">
        <x:f>'Raw Data'!D65</x:f>
        <x:v>6245</x:v>
      </x:c>
      <x:c r="F65" s="10" t="n">
        <x:f>'Raw Data'!E65</x:f>
        <x:v>6544</x:v>
      </x:c>
      <x:c r="G65" s="10" t="n">
        <x:f>'Raw Data'!F65</x:f>
        <x:v>4154</x:v>
      </x:c>
      <x:c r="H65" s="10" t="n">
        <x:f>'Raw Data'!G65</x:f>
        <x:v>4074</x:v>
      </x:c>
      <x:c r="I65" s="10" t="n">
        <x:f>'Raw Data'!H65</x:f>
        <x:v>964</x:v>
      </x:c>
      <x:c r="J65" s="10" t="str">
        <x:f>VLOOKUP(B65,'Lookups &amp; Notes'!$A$4:$B$5,2,FALSE)</x:f>
        <x:v>Retail</x:v>
      </x:c>
      <x:c r="K65" s="10" t="str">
        <x:f>VLOOKUP(C65,'Lookups &amp; Notes'!$A$8:$B$10,2,FALSE)</x:f>
        <x:v>Other</x:v>
      </x:c>
      <x:c r="L65" s="10" t="n">
        <x:f>SUM(D65:I65)</x:f>
        <x:v>29804</x:v>
      </x:c>
      <x:c r="M65" s="39" t="n">
        <x:f>IFERROR(F65/L65,0)</x:f>
        <x:v>0.2195678432425178</x:v>
      </x:c>
      <x:c r="N65" s="38" t="str">
        <x:f>IF(L65&gt;='Lookups &amp; Notes'!$E$4,"High Value","Standard")</x:f>
        <x:v>High Value</x:v>
      </x:c>
    </x:row>
    <x:row r="66">
      <x:c r="A66" s="38" t="str">
        <x:v>CUST-064</x:v>
      </x:c>
      <x:c r="B66" s="38" t="n">
        <x:f>'Raw Data'!A66</x:f>
        <x:v>2</x:v>
      </x:c>
      <x:c r="C66" s="38" t="n">
        <x:f>'Raw Data'!B66</x:f>
        <x:v>3</x:v>
      </x:c>
      <x:c r="D66" s="10" t="n">
        <x:f>'Raw Data'!C66</x:f>
        <x:v>9396</x:v>
      </x:c>
      <x:c r="E66" s="10" t="n">
        <x:f>'Raw Data'!D66</x:f>
        <x:v>11601</x:v>
      </x:c>
      <x:c r="F66" s="10" t="n">
        <x:f>'Raw Data'!E66</x:f>
        <x:v>15775</x:v>
      </x:c>
      <x:c r="G66" s="10" t="n">
        <x:f>'Raw Data'!F66</x:f>
        <x:v>2896</x:v>
      </x:c>
      <x:c r="H66" s="10" t="n">
        <x:f>'Raw Data'!G66</x:f>
        <x:v>7677</x:v>
      </x:c>
      <x:c r="I66" s="10" t="n">
        <x:f>'Raw Data'!H66</x:f>
        <x:v>1295</x:v>
      </x:c>
      <x:c r="J66" s="10" t="str">
        <x:f>VLOOKUP(B66,'Lookups &amp; Notes'!$A$4:$B$5,2,FALSE)</x:f>
        <x:v>Retail</x:v>
      </x:c>
      <x:c r="K66" s="10" t="str">
        <x:f>VLOOKUP(C66,'Lookups &amp; Notes'!$A$8:$B$10,2,FALSE)</x:f>
        <x:v>Other</x:v>
      </x:c>
      <x:c r="L66" s="10" t="n">
        <x:f>SUM(D66:I66)</x:f>
        <x:v>48640</x:v>
      </x:c>
      <x:c r="M66" s="39" t="n">
        <x:f>IFERROR(F66/L66,0)</x:f>
        <x:v>0.3243215460526316</x:v>
      </x:c>
      <x:c r="N66" s="38" t="str">
        <x:f>IF(L66&gt;='Lookups &amp; Notes'!$E$4,"High Value","Standard")</x:f>
        <x:v>High Value</x:v>
      </x:c>
    </x:row>
    <x:row r="67">
      <x:c r="A67" s="38" t="str">
        <x:v>CUST-065</x:v>
      </x:c>
      <x:c r="B67" s="38" t="n">
        <x:f>'Raw Data'!A67</x:f>
        <x:v>1</x:v>
      </x:c>
      <x:c r="C67" s="38" t="n">
        <x:f>'Raw Data'!B67</x:f>
        <x:v>3</x:v>
      </x:c>
      <x:c r="D67" s="10" t="n">
        <x:f>'Raw Data'!C67</x:f>
        <x:v>4760</x:v>
      </x:c>
      <x:c r="E67" s="10" t="n">
        <x:f>'Raw Data'!D67</x:f>
        <x:v>1227</x:v>
      </x:c>
      <x:c r="F67" s="10" t="n">
        <x:f>'Raw Data'!E67</x:f>
        <x:v>3250</x:v>
      </x:c>
      <x:c r="G67" s="10" t="n">
        <x:f>'Raw Data'!F67</x:f>
        <x:v>3724</x:v>
      </x:c>
      <x:c r="H67" s="10" t="n">
        <x:f>'Raw Data'!G67</x:f>
        <x:v>1247</x:v>
      </x:c>
      <x:c r="I67" s="10" t="n">
        <x:f>'Raw Data'!H67</x:f>
        <x:v>1145</x:v>
      </x:c>
      <x:c r="J67" s="10" t="str">
        <x:f>VLOOKUP(B67,'Lookups &amp; Notes'!$A$4:$B$5,2,FALSE)</x:f>
        <x:v>Horeca</x:v>
      </x:c>
      <x:c r="K67" s="10" t="str">
        <x:f>VLOOKUP(C67,'Lookups &amp; Notes'!$A$8:$B$10,2,FALSE)</x:f>
        <x:v>Other</x:v>
      </x:c>
      <x:c r="L67" s="10" t="n">
        <x:f>SUM(D67:I67)</x:f>
        <x:v>15353</x:v>
      </x:c>
      <x:c r="M67" s="39" t="n">
        <x:f>IFERROR(F67/L67,0)</x:f>
        <x:v>0.21168501270110077</x:v>
      </x:c>
      <x:c r="N67" s="38" t="str">
        <x:f>IF(L67&gt;='Lookups &amp; Notes'!$E$4,"High Value","Standard")</x:f>
        <x:v>Standard</x:v>
      </x:c>
    </x:row>
    <x:row r="68">
      <x:c r="A68" s="38" t="str">
        <x:v>CUST-066</x:v>
      </x:c>
      <x:c r="B68" s="38" t="n">
        <x:f>'Raw Data'!A68</x:f>
        <x:v>2</x:v>
      </x:c>
      <x:c r="C68" s="38" t="n">
        <x:f>'Raw Data'!B68</x:f>
        <x:v>3</x:v>
      </x:c>
      <x:c r="D68" s="10" t="n">
        <x:f>'Raw Data'!C68</x:f>
        <x:v>85</x:v>
      </x:c>
      <x:c r="E68" s="10" t="n">
        <x:f>'Raw Data'!D68</x:f>
        <x:v>20959</x:v>
      </x:c>
      <x:c r="F68" s="10" t="n">
        <x:f>'Raw Data'!E68</x:f>
        <x:v>45828</x:v>
      </x:c>
      <x:c r="G68" s="10" t="n">
        <x:f>'Raw Data'!F68</x:f>
        <x:v>36</x:v>
      </x:c>
      <x:c r="H68" s="10" t="n">
        <x:f>'Raw Data'!G68</x:f>
        <x:v>24231</x:v>
      </x:c>
      <x:c r="I68" s="10" t="n">
        <x:f>'Raw Data'!H68</x:f>
        <x:v>1423</x:v>
      </x:c>
      <x:c r="J68" s="10" t="str">
        <x:f>VLOOKUP(B68,'Lookups &amp; Notes'!$A$4:$B$5,2,FALSE)</x:f>
        <x:v>Retail</x:v>
      </x:c>
      <x:c r="K68" s="10" t="str">
        <x:f>VLOOKUP(C68,'Lookups &amp; Notes'!$A$8:$B$10,2,FALSE)</x:f>
        <x:v>Other</x:v>
      </x:c>
      <x:c r="L68" s="10" t="n">
        <x:f>SUM(D68:I68)</x:f>
        <x:v>92562</x:v>
      </x:c>
      <x:c r="M68" s="39" t="n">
        <x:f>IFERROR(F68/L68,0)</x:f>
        <x:v>0.49510598301678876</x:v>
      </x:c>
      <x:c r="N68" s="38" t="str">
        <x:f>IF(L68&gt;='Lookups &amp; Notes'!$E$4,"High Value","Standard")</x:f>
        <x:v>High Value</x:v>
      </x:c>
    </x:row>
    <x:row r="69">
      <x:c r="A69" s="38" t="str">
        <x:v>CUST-067</x:v>
      </x:c>
      <x:c r="B69" s="38" t="n">
        <x:f>'Raw Data'!A69</x:f>
        <x:v>1</x:v>
      </x:c>
      <x:c r="C69" s="38" t="n">
        <x:f>'Raw Data'!B69</x:f>
        <x:v>3</x:v>
      </x:c>
      <x:c r="D69" s="10" t="n">
        <x:f>'Raw Data'!C69</x:f>
        <x:v>9</x:v>
      </x:c>
      <x:c r="E69" s="10" t="n">
        <x:f>'Raw Data'!D69</x:f>
        <x:v>1534</x:v>
      </x:c>
      <x:c r="F69" s="10" t="n">
        <x:f>'Raw Data'!E69</x:f>
        <x:v>7417</x:v>
      </x:c>
      <x:c r="G69" s="10" t="n">
        <x:f>'Raw Data'!F69</x:f>
        <x:v>175</x:v>
      </x:c>
      <x:c r="H69" s="10" t="n">
        <x:f>'Raw Data'!G69</x:f>
        <x:v>3468</x:v>
      </x:c>
      <x:c r="I69" s="10" t="n">
        <x:f>'Raw Data'!H69</x:f>
        <x:v>27</x:v>
      </x:c>
      <x:c r="J69" s="10" t="str">
        <x:f>VLOOKUP(B69,'Lookups &amp; Notes'!$A$4:$B$5,2,FALSE)</x:f>
        <x:v>Horeca</x:v>
      </x:c>
      <x:c r="K69" s="10" t="str">
        <x:f>VLOOKUP(C69,'Lookups &amp; Notes'!$A$8:$B$10,2,FALSE)</x:f>
        <x:v>Other</x:v>
      </x:c>
      <x:c r="L69" s="10" t="n">
        <x:f>SUM(D69:I69)</x:f>
        <x:v>12630</x:v>
      </x:c>
      <x:c r="M69" s="39" t="n">
        <x:f>IFERROR(F69/L69,0)</x:f>
        <x:v>0.5872525732383215</x:v>
      </x:c>
      <x:c r="N69" s="38" t="str">
        <x:f>IF(L69&gt;='Lookups &amp; Notes'!$E$4,"High Value","Standard")</x:f>
        <x:v>Standard</x:v>
      </x:c>
    </x:row>
    <x:row r="70">
      <x:c r="A70" s="38" t="str">
        <x:v>CUST-068</x:v>
      </x:c>
      <x:c r="B70" s="38" t="n">
        <x:f>'Raw Data'!A70</x:f>
        <x:v>2</x:v>
      </x:c>
      <x:c r="C70" s="38" t="n">
        <x:f>'Raw Data'!B70</x:f>
        <x:v>3</x:v>
      </x:c>
      <x:c r="D70" s="10" t="n">
        <x:f>'Raw Data'!C70</x:f>
        <x:v>19913</x:v>
      </x:c>
      <x:c r="E70" s="10" t="n">
        <x:f>'Raw Data'!D70</x:f>
        <x:v>6759</x:v>
      </x:c>
      <x:c r="F70" s="10" t="n">
        <x:f>'Raw Data'!E70</x:f>
        <x:v>13462</x:v>
      </x:c>
      <x:c r="G70" s="10" t="n">
        <x:f>'Raw Data'!F70</x:f>
        <x:v>1256</x:v>
      </x:c>
      <x:c r="H70" s="10" t="n">
        <x:f>'Raw Data'!G70</x:f>
        <x:v>5141</x:v>
      </x:c>
      <x:c r="I70" s="10" t="n">
        <x:f>'Raw Data'!H70</x:f>
        <x:v>834</x:v>
      </x:c>
      <x:c r="J70" s="10" t="str">
        <x:f>VLOOKUP(B70,'Lookups &amp; Notes'!$A$4:$B$5,2,FALSE)</x:f>
        <x:v>Retail</x:v>
      </x:c>
      <x:c r="K70" s="10" t="str">
        <x:f>VLOOKUP(C70,'Lookups &amp; Notes'!$A$8:$B$10,2,FALSE)</x:f>
        <x:v>Other</x:v>
      </x:c>
      <x:c r="L70" s="10" t="n">
        <x:f>SUM(D70:I70)</x:f>
        <x:v>47365</x:v>
      </x:c>
      <x:c r="M70" s="39" t="n">
        <x:f>IFERROR(F70/L70,0)</x:f>
        <x:v>0.2842183046553362</x:v>
      </x:c>
      <x:c r="N70" s="38" t="str">
        <x:f>IF(L70&gt;='Lookups &amp; Notes'!$E$4,"High Value","Standard")</x:f>
        <x:v>High Value</x:v>
      </x:c>
    </x:row>
    <x:row r="71">
      <x:c r="A71" s="38" t="str">
        <x:v>CUST-069</x:v>
      </x:c>
      <x:c r="B71" s="38" t="n">
        <x:f>'Raw Data'!A71</x:f>
        <x:v>1</x:v>
      </x:c>
      <x:c r="C71" s="38" t="n">
        <x:f>'Raw Data'!B71</x:f>
        <x:v>3</x:v>
      </x:c>
      <x:c r="D71" s="10" t="n">
        <x:f>'Raw Data'!C71</x:f>
        <x:v>2446</x:v>
      </x:c>
      <x:c r="E71" s="10" t="n">
        <x:f>'Raw Data'!D71</x:f>
        <x:v>7260</x:v>
      </x:c>
      <x:c r="F71" s="10" t="n">
        <x:f>'Raw Data'!E71</x:f>
        <x:v>3993</x:v>
      </x:c>
      <x:c r="G71" s="10" t="n">
        <x:f>'Raw Data'!F71</x:f>
        <x:v>5870</x:v>
      </x:c>
      <x:c r="H71" s="10" t="n">
        <x:f>'Raw Data'!G71</x:f>
        <x:v>788</x:v>
      </x:c>
      <x:c r="I71" s="10" t="n">
        <x:f>'Raw Data'!H71</x:f>
        <x:v>3095</x:v>
      </x:c>
      <x:c r="J71" s="10" t="str">
        <x:f>VLOOKUP(B71,'Lookups &amp; Notes'!$A$4:$B$5,2,FALSE)</x:f>
        <x:v>Horeca</x:v>
      </x:c>
      <x:c r="K71" s="10" t="str">
        <x:f>VLOOKUP(C71,'Lookups &amp; Notes'!$A$8:$B$10,2,FALSE)</x:f>
        <x:v>Other</x:v>
      </x:c>
      <x:c r="L71" s="10" t="n">
        <x:f>SUM(D71:I71)</x:f>
        <x:v>23452</x:v>
      </x:c>
      <x:c r="M71" s="39" t="n">
        <x:f>IFERROR(F71/L71,0)</x:f>
        <x:v>0.1702626641651032</x:v>
      </x:c>
      <x:c r="N71" s="38" t="str">
        <x:f>IF(L71&gt;='Lookups &amp; Notes'!$E$4,"High Value","Standard")</x:f>
        <x:v>Standard</x:v>
      </x:c>
    </x:row>
    <x:row r="72">
      <x:c r="A72" s="38" t="str">
        <x:v>CUST-070</x:v>
      </x:c>
      <x:c r="B72" s="38" t="n">
        <x:f>'Raw Data'!A72</x:f>
        <x:v>1</x:v>
      </x:c>
      <x:c r="C72" s="38" t="n">
        <x:f>'Raw Data'!B72</x:f>
        <x:v>3</x:v>
      </x:c>
      <x:c r="D72" s="10" t="n">
        <x:f>'Raw Data'!C72</x:f>
        <x:v>8352</x:v>
      </x:c>
      <x:c r="E72" s="10" t="n">
        <x:f>'Raw Data'!D72</x:f>
        <x:v>2820</x:v>
      </x:c>
      <x:c r="F72" s="10" t="n">
        <x:f>'Raw Data'!E72</x:f>
        <x:v>1293</x:v>
      </x:c>
      <x:c r="G72" s="10" t="n">
        <x:f>'Raw Data'!F72</x:f>
        <x:v>779</x:v>
      </x:c>
      <x:c r="H72" s="10" t="n">
        <x:f>'Raw Data'!G72</x:f>
        <x:v>656</x:v>
      </x:c>
      <x:c r="I72" s="10" t="n">
        <x:f>'Raw Data'!H72</x:f>
        <x:v>144</x:v>
      </x:c>
      <x:c r="J72" s="10" t="str">
        <x:f>VLOOKUP(B72,'Lookups &amp; Notes'!$A$4:$B$5,2,FALSE)</x:f>
        <x:v>Horeca</x:v>
      </x:c>
      <x:c r="K72" s="10" t="str">
        <x:f>VLOOKUP(C72,'Lookups &amp; Notes'!$A$8:$B$10,2,FALSE)</x:f>
        <x:v>Other</x:v>
      </x:c>
      <x:c r="L72" s="10" t="n">
        <x:f>SUM(D72:I72)</x:f>
        <x:v>14044</x:v>
      </x:c>
      <x:c r="M72" s="39" t="n">
        <x:f>IFERROR(F72/L72,0)</x:f>
        <x:v>0.09206778695528339</x:v>
      </x:c>
      <x:c r="N72" s="38" t="str">
        <x:f>IF(L72&gt;='Lookups &amp; Notes'!$E$4,"High Value","Standard")</x:f>
        <x:v>Standard</x:v>
      </x:c>
    </x:row>
    <x:row r="73">
      <x:c r="A73" s="38" t="str">
        <x:v>CUST-071</x:v>
      </x:c>
      <x:c r="B73" s="38" t="n">
        <x:f>'Raw Data'!A73</x:f>
        <x:v>1</x:v>
      </x:c>
      <x:c r="C73" s="38" t="n">
        <x:f>'Raw Data'!B73</x:f>
        <x:v>3</x:v>
      </x:c>
      <x:c r="D73" s="10" t="n">
        <x:f>'Raw Data'!C73</x:f>
        <x:v>16705</x:v>
      </x:c>
      <x:c r="E73" s="10" t="n">
        <x:f>'Raw Data'!D73</x:f>
        <x:v>2037</x:v>
      </x:c>
      <x:c r="F73" s="10" t="n">
        <x:f>'Raw Data'!E73</x:f>
        <x:v>3202</x:v>
      </x:c>
      <x:c r="G73" s="10" t="n">
        <x:f>'Raw Data'!F73</x:f>
        <x:v>10643</x:v>
      </x:c>
      <x:c r="H73" s="10" t="n">
        <x:f>'Raw Data'!G73</x:f>
        <x:v>116</x:v>
      </x:c>
      <x:c r="I73" s="10" t="n">
        <x:f>'Raw Data'!H73</x:f>
        <x:v>1365</x:v>
      </x:c>
      <x:c r="J73" s="10" t="str">
        <x:f>VLOOKUP(B73,'Lookups &amp; Notes'!$A$4:$B$5,2,FALSE)</x:f>
        <x:v>Horeca</x:v>
      </x:c>
      <x:c r="K73" s="10" t="str">
        <x:f>VLOOKUP(C73,'Lookups &amp; Notes'!$A$8:$B$10,2,FALSE)</x:f>
        <x:v>Other</x:v>
      </x:c>
      <x:c r="L73" s="10" t="n">
        <x:f>SUM(D73:I73)</x:f>
        <x:v>34068</x:v>
      </x:c>
      <x:c r="M73" s="39" t="n">
        <x:f>IFERROR(F73/L73,0)</x:f>
        <x:v>0.09398849360103323</x:v>
      </x:c>
      <x:c r="N73" s="38" t="str">
        <x:f>IF(L73&gt;='Lookups &amp; Notes'!$E$4,"High Value","Standard")</x:f>
        <x:v>High Value</x:v>
      </x:c>
    </x:row>
    <x:row r="74">
      <x:c r="A74" s="38" t="str">
        <x:v>CUST-072</x:v>
      </x:c>
      <x:c r="B74" s="38" t="n">
        <x:f>'Raw Data'!A74</x:f>
        <x:v>1</x:v>
      </x:c>
      <x:c r="C74" s="38" t="n">
        <x:f>'Raw Data'!B74</x:f>
        <x:v>3</x:v>
      </x:c>
      <x:c r="D74" s="10" t="n">
        <x:f>'Raw Data'!C74</x:f>
        <x:v>18291</x:v>
      </x:c>
      <x:c r="E74" s="10" t="n">
        <x:f>'Raw Data'!D74</x:f>
        <x:v>1266</x:v>
      </x:c>
      <x:c r="F74" s="10" t="n">
        <x:f>'Raw Data'!E74</x:f>
        <x:v>21042</x:v>
      </x:c>
      <x:c r="G74" s="10" t="n">
        <x:f>'Raw Data'!F74</x:f>
        <x:v>5373</x:v>
      </x:c>
      <x:c r="H74" s="10" t="n">
        <x:f>'Raw Data'!G74</x:f>
        <x:v>4173</x:v>
      </x:c>
      <x:c r="I74" s="10" t="n">
        <x:f>'Raw Data'!H74</x:f>
        <x:v>14472</x:v>
      </x:c>
      <x:c r="J74" s="10" t="str">
        <x:f>VLOOKUP(B74,'Lookups &amp; Notes'!$A$4:$B$5,2,FALSE)</x:f>
        <x:v>Horeca</x:v>
      </x:c>
      <x:c r="K74" s="10" t="str">
        <x:f>VLOOKUP(C74,'Lookups &amp; Notes'!$A$8:$B$10,2,FALSE)</x:f>
        <x:v>Other</x:v>
      </x:c>
      <x:c r="L74" s="10" t="n">
        <x:f>SUM(D74:I74)</x:f>
        <x:v>64617</x:v>
      </x:c>
      <x:c r="M74" s="39" t="n">
        <x:f>IFERROR(F74/L74,0)</x:f>
        <x:v>0.32564185895352615</x:v>
      </x:c>
      <x:c r="N74" s="38" t="str">
        <x:f>IF(L74&gt;='Lookups &amp; Notes'!$E$4,"High Value","Standard")</x:f>
        <x:v>High Value</x:v>
      </x:c>
    </x:row>
    <x:row r="75">
      <x:c r="A75" s="38" t="str">
        <x:v>CUST-073</x:v>
      </x:c>
      <x:c r="B75" s="38" t="n">
        <x:f>'Raw Data'!A75</x:f>
        <x:v>1</x:v>
      </x:c>
      <x:c r="C75" s="38" t="n">
        <x:f>'Raw Data'!B75</x:f>
        <x:v>3</x:v>
      </x:c>
      <x:c r="D75" s="10" t="n">
        <x:f>'Raw Data'!C75</x:f>
        <x:v>4420</x:v>
      </x:c>
      <x:c r="E75" s="10" t="n">
        <x:f>'Raw Data'!D75</x:f>
        <x:v>5139</x:v>
      </x:c>
      <x:c r="F75" s="10" t="n">
        <x:f>'Raw Data'!E75</x:f>
        <x:v>2661</x:v>
      </x:c>
      <x:c r="G75" s="10" t="n">
        <x:f>'Raw Data'!F75</x:f>
        <x:v>8872</x:v>
      </x:c>
      <x:c r="H75" s="10" t="n">
        <x:f>'Raw Data'!G75</x:f>
        <x:v>1321</x:v>
      </x:c>
      <x:c r="I75" s="10" t="n">
        <x:f>'Raw Data'!H75</x:f>
        <x:v>181</x:v>
      </x:c>
      <x:c r="J75" s="10" t="str">
        <x:f>VLOOKUP(B75,'Lookups &amp; Notes'!$A$4:$B$5,2,FALSE)</x:f>
        <x:v>Horeca</x:v>
      </x:c>
      <x:c r="K75" s="10" t="str">
        <x:f>VLOOKUP(C75,'Lookups &amp; Notes'!$A$8:$B$10,2,FALSE)</x:f>
        <x:v>Other</x:v>
      </x:c>
      <x:c r="L75" s="10" t="n">
        <x:f>SUM(D75:I75)</x:f>
        <x:v>22594</x:v>
      </x:c>
      <x:c r="M75" s="39" t="n">
        <x:f>IFERROR(F75/L75,0)</x:f>
        <x:v>0.11777463043285828</x:v>
      </x:c>
      <x:c r="N75" s="38" t="str">
        <x:f>IF(L75&gt;='Lookups &amp; Notes'!$E$4,"High Value","Standard")</x:f>
        <x:v>Standard</x:v>
      </x:c>
    </x:row>
    <x:row r="76">
      <x:c r="A76" s="38" t="str">
        <x:v>CUST-074</x:v>
      </x:c>
      <x:c r="B76" s="38" t="n">
        <x:f>'Raw Data'!A76</x:f>
        <x:v>2</x:v>
      </x:c>
      <x:c r="C76" s="38" t="n">
        <x:f>'Raw Data'!B76</x:f>
        <x:v>3</x:v>
      </x:c>
      <x:c r="D76" s="10" t="n">
        <x:f>'Raw Data'!C76</x:f>
        <x:v>19899</x:v>
      </x:c>
      <x:c r="E76" s="10" t="n">
        <x:f>'Raw Data'!D76</x:f>
        <x:v>5332</x:v>
      </x:c>
      <x:c r="F76" s="10" t="n">
        <x:f>'Raw Data'!E76</x:f>
        <x:v>8713</x:v>
      </x:c>
      <x:c r="G76" s="10" t="n">
        <x:f>'Raw Data'!F76</x:f>
        <x:v>8132</x:v>
      </x:c>
      <x:c r="H76" s="10" t="n">
        <x:f>'Raw Data'!G76</x:f>
        <x:v>764</x:v>
      </x:c>
      <x:c r="I76" s="10" t="n">
        <x:f>'Raw Data'!H76</x:f>
        <x:v>648</x:v>
      </x:c>
      <x:c r="J76" s="10" t="str">
        <x:f>VLOOKUP(B76,'Lookups &amp; Notes'!$A$4:$B$5,2,FALSE)</x:f>
        <x:v>Retail</x:v>
      </x:c>
      <x:c r="K76" s="10" t="str">
        <x:f>VLOOKUP(C76,'Lookups &amp; Notes'!$A$8:$B$10,2,FALSE)</x:f>
        <x:v>Other</x:v>
      </x:c>
      <x:c r="L76" s="10" t="n">
        <x:f>SUM(D76:I76)</x:f>
        <x:v>43488</x:v>
      </x:c>
      <x:c r="M76" s="39" t="n">
        <x:f>IFERROR(F76/L76,0)</x:f>
        <x:v>0.20035412067696837</x:v>
      </x:c>
      <x:c r="N76" s="38" t="str">
        <x:f>IF(L76&gt;='Lookups &amp; Notes'!$E$4,"High Value","Standard")</x:f>
        <x:v>High Value</x:v>
      </x:c>
    </x:row>
    <x:row r="77">
      <x:c r="A77" s="38" t="str">
        <x:v>CUST-075</x:v>
      </x:c>
      <x:c r="B77" s="38" t="n">
        <x:f>'Raw Data'!A77</x:f>
        <x:v>2</x:v>
      </x:c>
      <x:c r="C77" s="38" t="n">
        <x:f>'Raw Data'!B77</x:f>
        <x:v>3</x:v>
      </x:c>
      <x:c r="D77" s="10" t="n">
        <x:f>'Raw Data'!C77</x:f>
        <x:v>8190</x:v>
      </x:c>
      <x:c r="E77" s="10" t="n">
        <x:f>'Raw Data'!D77</x:f>
        <x:v>6343</x:v>
      </x:c>
      <x:c r="F77" s="10" t="n">
        <x:f>'Raw Data'!E77</x:f>
        <x:v>9794</x:v>
      </x:c>
      <x:c r="G77" s="10" t="n">
        <x:f>'Raw Data'!F77</x:f>
        <x:v>1285</x:v>
      </x:c>
      <x:c r="H77" s="10" t="n">
        <x:f>'Raw Data'!G77</x:f>
        <x:v>1901</x:v>
      </x:c>
      <x:c r="I77" s="10" t="n">
        <x:f>'Raw Data'!H77</x:f>
        <x:v>1780</x:v>
      </x:c>
      <x:c r="J77" s="10" t="str">
        <x:f>VLOOKUP(B77,'Lookups &amp; Notes'!$A$4:$B$5,2,FALSE)</x:f>
        <x:v>Retail</x:v>
      </x:c>
      <x:c r="K77" s="10" t="str">
        <x:f>VLOOKUP(C77,'Lookups &amp; Notes'!$A$8:$B$10,2,FALSE)</x:f>
        <x:v>Other</x:v>
      </x:c>
      <x:c r="L77" s="10" t="n">
        <x:f>SUM(D77:I77)</x:f>
        <x:v>29293</x:v>
      </x:c>
      <x:c r="M77" s="39" t="n">
        <x:f>IFERROR(F77/L77,0)</x:f>
        <x:v>0.3343460895094391</x:v>
      </x:c>
      <x:c r="N77" s="38" t="str">
        <x:f>IF(L77&gt;='Lookups &amp; Notes'!$E$4,"High Value","Standard")</x:f>
        <x:v>High Value</x:v>
      </x:c>
    </x:row>
    <x:row r="78">
      <x:c r="A78" s="38" t="str">
        <x:v>CUST-076</x:v>
      </x:c>
      <x:c r="B78" s="38" t="n">
        <x:f>'Raw Data'!A78</x:f>
        <x:v>1</x:v>
      </x:c>
      <x:c r="C78" s="38" t="n">
        <x:f>'Raw Data'!B78</x:f>
        <x:v>3</x:v>
      </x:c>
      <x:c r="D78" s="10" t="n">
        <x:f>'Raw Data'!C78</x:f>
        <x:v>20398</x:v>
      </x:c>
      <x:c r="E78" s="10" t="n">
        <x:f>'Raw Data'!D78</x:f>
        <x:v>1137</x:v>
      </x:c>
      <x:c r="F78" s="10" t="n">
        <x:f>'Raw Data'!E78</x:f>
        <x:v>3</x:v>
      </x:c>
      <x:c r="G78" s="10" t="n">
        <x:f>'Raw Data'!F78</x:f>
        <x:v>4407</x:v>
      </x:c>
      <x:c r="H78" s="10" t="n">
        <x:f>'Raw Data'!G78</x:f>
        <x:v>3</x:v>
      </x:c>
      <x:c r="I78" s="10" t="n">
        <x:f>'Raw Data'!H78</x:f>
        <x:v>975</x:v>
      </x:c>
      <x:c r="J78" s="10" t="str">
        <x:f>VLOOKUP(B78,'Lookups &amp; Notes'!$A$4:$B$5,2,FALSE)</x:f>
        <x:v>Horeca</x:v>
      </x:c>
      <x:c r="K78" s="10" t="str">
        <x:f>VLOOKUP(C78,'Lookups &amp; Notes'!$A$8:$B$10,2,FALSE)</x:f>
        <x:v>Other</x:v>
      </x:c>
      <x:c r="L78" s="10" t="n">
        <x:f>SUM(D78:I78)</x:f>
        <x:v>26923</x:v>
      </x:c>
      <x:c r="M78" s="39" t="n">
        <x:f>IFERROR(F78/L78,0)</x:f>
        <x:v>0.00011142888979682799</x:v>
      </x:c>
      <x:c r="N78" s="38" t="str">
        <x:f>IF(L78&gt;='Lookups &amp; Notes'!$E$4,"High Value","Standard")</x:f>
        <x:v>Standard</x:v>
      </x:c>
    </x:row>
    <x:row r="79">
      <x:c r="A79" s="38" t="str">
        <x:v>CUST-077</x:v>
      </x:c>
      <x:c r="B79" s="38" t="n">
        <x:f>'Raw Data'!A79</x:f>
        <x:v>1</x:v>
      </x:c>
      <x:c r="C79" s="38" t="n">
        <x:f>'Raw Data'!B79</x:f>
        <x:v>3</x:v>
      </x:c>
      <x:c r="D79" s="10" t="n">
        <x:f>'Raw Data'!C79</x:f>
        <x:v>717</x:v>
      </x:c>
      <x:c r="E79" s="10" t="n">
        <x:f>'Raw Data'!D79</x:f>
        <x:v>3587</x:v>
      </x:c>
      <x:c r="F79" s="10" t="n">
        <x:f>'Raw Data'!E79</x:f>
        <x:v>6532</x:v>
      </x:c>
      <x:c r="G79" s="10" t="n">
        <x:f>'Raw Data'!F79</x:f>
        <x:v>7530</x:v>
      </x:c>
      <x:c r="H79" s="10" t="n">
        <x:f>'Raw Data'!G79</x:f>
        <x:v>529</x:v>
      </x:c>
      <x:c r="I79" s="10" t="n">
        <x:f>'Raw Data'!H79</x:f>
        <x:v>894</x:v>
      </x:c>
      <x:c r="J79" s="10" t="str">
        <x:f>VLOOKUP(B79,'Lookups &amp; Notes'!$A$4:$B$5,2,FALSE)</x:f>
        <x:v>Horeca</x:v>
      </x:c>
      <x:c r="K79" s="10" t="str">
        <x:f>VLOOKUP(C79,'Lookups &amp; Notes'!$A$8:$B$10,2,FALSE)</x:f>
        <x:v>Other</x:v>
      </x:c>
      <x:c r="L79" s="10" t="n">
        <x:f>SUM(D79:I79)</x:f>
        <x:v>19789</x:v>
      </x:c>
      <x:c r="M79" s="39" t="n">
        <x:f>IFERROR(F79/L79,0)</x:f>
        <x:v>0.33008236899287485</x:v>
      </x:c>
      <x:c r="N79" s="38" t="str">
        <x:f>IF(L79&gt;='Lookups &amp; Notes'!$E$4,"High Value","Standard")</x:f>
        <x:v>Standard</x:v>
      </x:c>
    </x:row>
    <x:row r="80">
      <x:c r="A80" s="38" t="str">
        <x:v>CUST-078</x:v>
      </x:c>
      <x:c r="B80" s="38" t="n">
        <x:f>'Raw Data'!A80</x:f>
        <x:v>2</x:v>
      </x:c>
      <x:c r="C80" s="38" t="n">
        <x:f>'Raw Data'!B80</x:f>
        <x:v>3</x:v>
      </x:c>
      <x:c r="D80" s="10" t="n">
        <x:f>'Raw Data'!C80</x:f>
        <x:v>12205</x:v>
      </x:c>
      <x:c r="E80" s="10" t="n">
        <x:f>'Raw Data'!D80</x:f>
        <x:v>12697</x:v>
      </x:c>
      <x:c r="F80" s="10" t="n">
        <x:f>'Raw Data'!E80</x:f>
        <x:v>28540</x:v>
      </x:c>
      <x:c r="G80" s="10" t="n">
        <x:f>'Raw Data'!F80</x:f>
        <x:v>869</x:v>
      </x:c>
      <x:c r="H80" s="10" t="n">
        <x:f>'Raw Data'!G80</x:f>
        <x:v>12034</x:v>
      </x:c>
      <x:c r="I80" s="10" t="n">
        <x:f>'Raw Data'!H80</x:f>
        <x:v>1009</x:v>
      </x:c>
      <x:c r="J80" s="10" t="str">
        <x:f>VLOOKUP(B80,'Lookups &amp; Notes'!$A$4:$B$5,2,FALSE)</x:f>
        <x:v>Retail</x:v>
      </x:c>
      <x:c r="K80" s="10" t="str">
        <x:f>VLOOKUP(C80,'Lookups &amp; Notes'!$A$8:$B$10,2,FALSE)</x:f>
        <x:v>Other</x:v>
      </x:c>
      <x:c r="L80" s="10" t="n">
        <x:f>SUM(D80:I80)</x:f>
        <x:v>67354</x:v>
      </x:c>
      <x:c r="M80" s="39" t="n">
        <x:f>IFERROR(F80/L80,0)</x:f>
        <x:v>0.42373132998782553</x:v>
      </x:c>
      <x:c r="N80" s="38" t="str">
        <x:f>IF(L80&gt;='Lookups &amp; Notes'!$E$4,"High Value","Standard")</x:f>
        <x:v>High Value</x:v>
      </x:c>
    </x:row>
    <x:row r="81">
      <x:c r="A81" s="38" t="str">
        <x:v>CUST-079</x:v>
      </x:c>
      <x:c r="B81" s="38" t="n">
        <x:f>'Raw Data'!A81</x:f>
        <x:v>1</x:v>
      </x:c>
      <x:c r="C81" s="38" t="n">
        <x:f>'Raw Data'!B81</x:f>
        <x:v>3</x:v>
      </x:c>
      <x:c r="D81" s="10" t="n">
        <x:f>'Raw Data'!C81</x:f>
        <x:v>10766</x:v>
      </x:c>
      <x:c r="E81" s="10" t="n">
        <x:f>'Raw Data'!D81</x:f>
        <x:v>1175</x:v>
      </x:c>
      <x:c r="F81" s="10" t="n">
        <x:f>'Raw Data'!E81</x:f>
        <x:v>2067</x:v>
      </x:c>
      <x:c r="G81" s="10" t="n">
        <x:f>'Raw Data'!F81</x:f>
        <x:v>2096</x:v>
      </x:c>
      <x:c r="H81" s="10" t="n">
        <x:f>'Raw Data'!G81</x:f>
        <x:v>301</x:v>
      </x:c>
      <x:c r="I81" s="10" t="n">
        <x:f>'Raw Data'!H81</x:f>
        <x:v>167</x:v>
      </x:c>
      <x:c r="J81" s="10" t="str">
        <x:f>VLOOKUP(B81,'Lookups &amp; Notes'!$A$4:$B$5,2,FALSE)</x:f>
        <x:v>Horeca</x:v>
      </x:c>
      <x:c r="K81" s="10" t="str">
        <x:f>VLOOKUP(C81,'Lookups &amp; Notes'!$A$8:$B$10,2,FALSE)</x:f>
        <x:v>Other</x:v>
      </x:c>
      <x:c r="L81" s="10" t="n">
        <x:f>SUM(D81:I81)</x:f>
        <x:v>16572</x:v>
      </x:c>
      <x:c r="M81" s="39" t="n">
        <x:f>IFERROR(F81/L81,0)</x:f>
        <x:v>0.12472845763939175</x:v>
      </x:c>
      <x:c r="N81" s="38" t="str">
        <x:f>IF(L81&gt;='Lookups &amp; Notes'!$E$4,"High Value","Standard")</x:f>
        <x:v>Standard</x:v>
      </x:c>
    </x:row>
    <x:row r="82">
      <x:c r="A82" s="38" t="str">
        <x:v>CUST-080</x:v>
      </x:c>
      <x:c r="B82" s="38" t="n">
        <x:f>'Raw Data'!A82</x:f>
        <x:v>1</x:v>
      </x:c>
      <x:c r="C82" s="38" t="n">
        <x:f>'Raw Data'!B82</x:f>
        <x:v>3</x:v>
      </x:c>
      <x:c r="D82" s="10" t="n">
        <x:f>'Raw Data'!C82</x:f>
        <x:v>1640</x:v>
      </x:c>
      <x:c r="E82" s="10" t="n">
        <x:f>'Raw Data'!D82</x:f>
        <x:v>3259</x:v>
      </x:c>
      <x:c r="F82" s="10" t="n">
        <x:f>'Raw Data'!E82</x:f>
        <x:v>3655</x:v>
      </x:c>
      <x:c r="G82" s="10" t="n">
        <x:f>'Raw Data'!F82</x:f>
        <x:v>868</x:v>
      </x:c>
      <x:c r="H82" s="10" t="n">
        <x:f>'Raw Data'!G82</x:f>
        <x:v>1202</x:v>
      </x:c>
      <x:c r="I82" s="10" t="n">
        <x:f>'Raw Data'!H82</x:f>
        <x:v>1653</x:v>
      </x:c>
      <x:c r="J82" s="10" t="str">
        <x:f>VLOOKUP(B82,'Lookups &amp; Notes'!$A$4:$B$5,2,FALSE)</x:f>
        <x:v>Horeca</x:v>
      </x:c>
      <x:c r="K82" s="10" t="str">
        <x:f>VLOOKUP(C82,'Lookups &amp; Notes'!$A$8:$B$10,2,FALSE)</x:f>
        <x:v>Other</x:v>
      </x:c>
      <x:c r="L82" s="10" t="n">
        <x:f>SUM(D82:I82)</x:f>
        <x:v>12277</x:v>
      </x:c>
      <x:c r="M82" s="39" t="n">
        <x:f>IFERROR(F82/L82,0)</x:f>
        <x:v>0.297711167223263</x:v>
      </x:c>
      <x:c r="N82" s="38" t="str">
        <x:f>IF(L82&gt;='Lookups &amp; Notes'!$E$4,"High Value","Standard")</x:f>
        <x:v>Standard</x:v>
      </x:c>
    </x:row>
    <x:row r="83">
      <x:c r="A83" s="38" t="str">
        <x:v>CUST-081</x:v>
      </x:c>
      <x:c r="B83" s="38" t="n">
        <x:f>'Raw Data'!A83</x:f>
        <x:v>1</x:v>
      </x:c>
      <x:c r="C83" s="38" t="n">
        <x:f>'Raw Data'!B83</x:f>
        <x:v>3</x:v>
      </x:c>
      <x:c r="D83" s="10" t="n">
        <x:f>'Raw Data'!C83</x:f>
        <x:v>7005</x:v>
      </x:c>
      <x:c r="E83" s="10" t="n">
        <x:f>'Raw Data'!D83</x:f>
        <x:v>829</x:v>
      </x:c>
      <x:c r="F83" s="10" t="n">
        <x:f>'Raw Data'!E83</x:f>
        <x:v>3009</x:v>
      </x:c>
      <x:c r="G83" s="10" t="n">
        <x:f>'Raw Data'!F83</x:f>
        <x:v>430</x:v>
      </x:c>
      <x:c r="H83" s="10" t="n">
        <x:f>'Raw Data'!G83</x:f>
        <x:v>610</x:v>
      </x:c>
      <x:c r="I83" s="10" t="n">
        <x:f>'Raw Data'!H83</x:f>
        <x:v>529</x:v>
      </x:c>
      <x:c r="J83" s="10" t="str">
        <x:f>VLOOKUP(B83,'Lookups &amp; Notes'!$A$4:$B$5,2,FALSE)</x:f>
        <x:v>Horeca</x:v>
      </x:c>
      <x:c r="K83" s="10" t="str">
        <x:f>VLOOKUP(C83,'Lookups &amp; Notes'!$A$8:$B$10,2,FALSE)</x:f>
        <x:v>Other</x:v>
      </x:c>
      <x:c r="L83" s="10" t="n">
        <x:f>SUM(D83:I83)</x:f>
        <x:v>12412</x:v>
      </x:c>
      <x:c r="M83" s="39" t="n">
        <x:f>IFERROR(F83/L83,0)</x:f>
        <x:v>0.24242668385433452</x:v>
      </x:c>
      <x:c r="N83" s="38" t="str">
        <x:f>IF(L83&gt;='Lookups &amp; Notes'!$E$4,"High Value","Standard")</x:f>
        <x:v>Standard</x:v>
      </x:c>
    </x:row>
    <x:row r="84">
      <x:c r="A84" s="38" t="str">
        <x:v>CUST-082</x:v>
      </x:c>
      <x:c r="B84" s="38" t="n">
        <x:f>'Raw Data'!A84</x:f>
        <x:v>2</x:v>
      </x:c>
      <x:c r="C84" s="38" t="n">
        <x:f>'Raw Data'!B84</x:f>
        <x:v>3</x:v>
      </x:c>
      <x:c r="D84" s="10" t="n">
        <x:f>'Raw Data'!C84</x:f>
        <x:v>219</x:v>
      </x:c>
      <x:c r="E84" s="10" t="n">
        <x:f>'Raw Data'!D84</x:f>
        <x:v>9540</x:v>
      </x:c>
      <x:c r="F84" s="10" t="n">
        <x:f>'Raw Data'!E84</x:f>
        <x:v>14403</x:v>
      </x:c>
      <x:c r="G84" s="10" t="n">
        <x:f>'Raw Data'!F84</x:f>
        <x:v>283</x:v>
      </x:c>
      <x:c r="H84" s="10" t="n">
        <x:f>'Raw Data'!G84</x:f>
        <x:v>7818</x:v>
      </x:c>
      <x:c r="I84" s="10" t="n">
        <x:f>'Raw Data'!H84</x:f>
        <x:v>156</x:v>
      </x:c>
      <x:c r="J84" s="10" t="str">
        <x:f>VLOOKUP(B84,'Lookups &amp; Notes'!$A$4:$B$5,2,FALSE)</x:f>
        <x:v>Retail</x:v>
      </x:c>
      <x:c r="K84" s="10" t="str">
        <x:f>VLOOKUP(C84,'Lookups &amp; Notes'!$A$8:$B$10,2,FALSE)</x:f>
        <x:v>Other</x:v>
      </x:c>
      <x:c r="L84" s="10" t="n">
        <x:f>SUM(D84:I84)</x:f>
        <x:v>32419</x:v>
      </x:c>
      <x:c r="M84" s="39" t="n">
        <x:f>IFERROR(F84/L84,0)</x:f>
        <x:v>0.44427650451895495</x:v>
      </x:c>
      <x:c r="N84" s="38" t="str">
        <x:f>IF(L84&gt;='Lookups &amp; Notes'!$E$4,"High Value","Standard")</x:f>
        <x:v>High Value</x:v>
      </x:c>
    </x:row>
    <x:row r="85">
      <x:c r="A85" s="38" t="str">
        <x:v>CUST-083</x:v>
      </x:c>
      <x:c r="B85" s="38" t="n">
        <x:f>'Raw Data'!A85</x:f>
        <x:v>2</x:v>
      </x:c>
      <x:c r="C85" s="38" t="n">
        <x:f>'Raw Data'!B85</x:f>
        <x:v>3</x:v>
      </x:c>
      <x:c r="D85" s="10" t="n">
        <x:f>'Raw Data'!C85</x:f>
        <x:v>10362</x:v>
      </x:c>
      <x:c r="E85" s="10" t="n">
        <x:f>'Raw Data'!D85</x:f>
        <x:v>9232</x:v>
      </x:c>
      <x:c r="F85" s="10" t="n">
        <x:f>'Raw Data'!E85</x:f>
        <x:v>11009</x:v>
      </x:c>
      <x:c r="G85" s="10" t="n">
        <x:f>'Raw Data'!F85</x:f>
        <x:v>737</x:v>
      </x:c>
      <x:c r="H85" s="10" t="n">
        <x:f>'Raw Data'!G85</x:f>
        <x:v>3537</x:v>
      </x:c>
      <x:c r="I85" s="10" t="n">
        <x:f>'Raw Data'!H85</x:f>
        <x:v>2342</x:v>
      </x:c>
      <x:c r="J85" s="10" t="str">
        <x:f>VLOOKUP(B85,'Lookups &amp; Notes'!$A$4:$B$5,2,FALSE)</x:f>
        <x:v>Retail</x:v>
      </x:c>
      <x:c r="K85" s="10" t="str">
        <x:f>VLOOKUP(C85,'Lookups &amp; Notes'!$A$8:$B$10,2,FALSE)</x:f>
        <x:v>Other</x:v>
      </x:c>
      <x:c r="L85" s="10" t="n">
        <x:f>SUM(D85:I85)</x:f>
        <x:v>37219</x:v>
      </x:c>
      <x:c r="M85" s="39" t="n">
        <x:f>IFERROR(F85/L85,0)</x:f>
        <x:v>0.2957897847873398</x:v>
      </x:c>
      <x:c r="N85" s="38" t="str">
        <x:f>IF(L85&gt;='Lookups &amp; Notes'!$E$4,"High Value","Standard")</x:f>
        <x:v>High Value</x:v>
      </x:c>
    </x:row>
    <x:row r="86">
      <x:c r="A86" s="38" t="str">
        <x:v>CUST-084</x:v>
      </x:c>
      <x:c r="B86" s="38" t="n">
        <x:f>'Raw Data'!A86</x:f>
        <x:v>1</x:v>
      </x:c>
      <x:c r="C86" s="38" t="n">
        <x:f>'Raw Data'!B86</x:f>
        <x:v>3</x:v>
      </x:c>
      <x:c r="D86" s="10" t="n">
        <x:f>'Raw Data'!C86</x:f>
        <x:v>20874</x:v>
      </x:c>
      <x:c r="E86" s="10" t="n">
        <x:f>'Raw Data'!D86</x:f>
        <x:v>1563</x:v>
      </x:c>
      <x:c r="F86" s="10" t="n">
        <x:f>'Raw Data'!E86</x:f>
        <x:v>1783</x:v>
      </x:c>
      <x:c r="G86" s="10" t="n">
        <x:f>'Raw Data'!F86</x:f>
        <x:v>2320</x:v>
      </x:c>
      <x:c r="H86" s="10" t="n">
        <x:f>'Raw Data'!G86</x:f>
        <x:v>550</x:v>
      </x:c>
      <x:c r="I86" s="10" t="n">
        <x:f>'Raw Data'!H86</x:f>
        <x:v>772</x:v>
      </x:c>
      <x:c r="J86" s="10" t="str">
        <x:f>VLOOKUP(B86,'Lookups &amp; Notes'!$A$4:$B$5,2,FALSE)</x:f>
        <x:v>Horeca</x:v>
      </x:c>
      <x:c r="K86" s="10" t="str">
        <x:f>VLOOKUP(C86,'Lookups &amp; Notes'!$A$8:$B$10,2,FALSE)</x:f>
        <x:v>Other</x:v>
      </x:c>
      <x:c r="L86" s="10" t="n">
        <x:f>SUM(D86:I86)</x:f>
        <x:v>27862</x:v>
      </x:c>
      <x:c r="M86" s="39" t="n">
        <x:f>IFERROR(F86/L86,0)</x:f>
        <x:v>0.06399397028210466</x:v>
      </x:c>
      <x:c r="N86" s="38" t="str">
        <x:f>IF(L86&gt;='Lookups &amp; Notes'!$E$4,"High Value","Standard")</x:f>
        <x:v>High Value</x:v>
      </x:c>
    </x:row>
    <x:row r="87">
      <x:c r="A87" s="38" t="str">
        <x:v>CUST-085</x:v>
      </x:c>
      <x:c r="B87" s="38" t="n">
        <x:f>'Raw Data'!A87</x:f>
        <x:v>2</x:v>
      </x:c>
      <x:c r="C87" s="38" t="n">
        <x:f>'Raw Data'!B87</x:f>
        <x:v>3</x:v>
      </x:c>
      <x:c r="D87" s="10" t="n">
        <x:f>'Raw Data'!C87</x:f>
        <x:v>11867</x:v>
      </x:c>
      <x:c r="E87" s="10" t="n">
        <x:f>'Raw Data'!D87</x:f>
        <x:v>3327</x:v>
      </x:c>
      <x:c r="F87" s="10" t="n">
        <x:f>'Raw Data'!E87</x:f>
        <x:v>4814</x:v>
      </x:c>
      <x:c r="G87" s="10" t="n">
        <x:f>'Raw Data'!F87</x:f>
        <x:v>1178</x:v>
      </x:c>
      <x:c r="H87" s="10" t="n">
        <x:f>'Raw Data'!G87</x:f>
        <x:v>3837</x:v>
      </x:c>
      <x:c r="I87" s="10" t="n">
        <x:f>'Raw Data'!H87</x:f>
        <x:v>120</x:v>
      </x:c>
      <x:c r="J87" s="10" t="str">
        <x:f>VLOOKUP(B87,'Lookups &amp; Notes'!$A$4:$B$5,2,FALSE)</x:f>
        <x:v>Retail</x:v>
      </x:c>
      <x:c r="K87" s="10" t="str">
        <x:f>VLOOKUP(C87,'Lookups &amp; Notes'!$A$8:$B$10,2,FALSE)</x:f>
        <x:v>Other</x:v>
      </x:c>
      <x:c r="L87" s="10" t="n">
        <x:f>SUM(D87:I87)</x:f>
        <x:v>25143</x:v>
      </x:c>
      <x:c r="M87" s="39" t="n">
        <x:f>IFERROR(F87/L87,0)</x:f>
        <x:v>0.1914648212226067</x:v>
      </x:c>
      <x:c r="N87" s="38" t="str">
        <x:f>IF(L87&gt;='Lookups &amp; Notes'!$E$4,"High Value","Standard")</x:f>
        <x:v>Standard</x:v>
      </x:c>
    </x:row>
    <x:row r="88">
      <x:c r="A88" s="38" t="str">
        <x:v>CUST-086</x:v>
      </x:c>
      <x:c r="B88" s="38" t="n">
        <x:f>'Raw Data'!A88</x:f>
        <x:v>2</x:v>
      </x:c>
      <x:c r="C88" s="38" t="n">
        <x:f>'Raw Data'!B88</x:f>
        <x:v>3</x:v>
      </x:c>
      <x:c r="D88" s="10" t="n">
        <x:f>'Raw Data'!C88</x:f>
        <x:v>16117</x:v>
      </x:c>
      <x:c r="E88" s="10" t="n">
        <x:f>'Raw Data'!D88</x:f>
        <x:v>46197</x:v>
      </x:c>
      <x:c r="F88" s="10" t="n">
        <x:f>'Raw Data'!E88</x:f>
        <x:v>92780</x:v>
      </x:c>
      <x:c r="G88" s="10" t="n">
        <x:f>'Raw Data'!F88</x:f>
        <x:v>1026</x:v>
      </x:c>
      <x:c r="H88" s="10" t="n">
        <x:f>'Raw Data'!G88</x:f>
        <x:v>40827</x:v>
      </x:c>
      <x:c r="I88" s="10" t="n">
        <x:f>'Raw Data'!H88</x:f>
        <x:v>2944</x:v>
      </x:c>
      <x:c r="J88" s="10" t="str">
        <x:f>VLOOKUP(B88,'Lookups &amp; Notes'!$A$4:$B$5,2,FALSE)</x:f>
        <x:v>Retail</x:v>
      </x:c>
      <x:c r="K88" s="10" t="str">
        <x:f>VLOOKUP(C88,'Lookups &amp; Notes'!$A$8:$B$10,2,FALSE)</x:f>
        <x:v>Other</x:v>
      </x:c>
      <x:c r="L88" s="10" t="n">
        <x:f>SUM(D88:I88)</x:f>
        <x:v>199891</x:v>
      </x:c>
      <x:c r="M88" s="39" t="n">
        <x:f>IFERROR(F88/L88,0)</x:f>
        <x:v>0.4641529633650339</x:v>
      </x:c>
      <x:c r="N88" s="38" t="str">
        <x:f>IF(L88&gt;='Lookups &amp; Notes'!$E$4,"High Value","Standard")</x:f>
        <x:v>High Value</x:v>
      </x:c>
    </x:row>
    <x:row r="89">
      <x:c r="A89" s="38" t="str">
        <x:v>CUST-087</x:v>
      </x:c>
      <x:c r="B89" s="38" t="n">
        <x:f>'Raw Data'!A89</x:f>
        <x:v>2</x:v>
      </x:c>
      <x:c r="C89" s="38" t="n">
        <x:f>'Raw Data'!B89</x:f>
        <x:v>3</x:v>
      </x:c>
      <x:c r="D89" s="10" t="n">
        <x:f>'Raw Data'!C89</x:f>
        <x:v>22925</x:v>
      </x:c>
      <x:c r="E89" s="10" t="n">
        <x:f>'Raw Data'!D89</x:f>
        <x:v>73498</x:v>
      </x:c>
      <x:c r="F89" s="10" t="n">
        <x:f>'Raw Data'!E89</x:f>
        <x:v>32114</x:v>
      </x:c>
      <x:c r="G89" s="10" t="n">
        <x:f>'Raw Data'!F89</x:f>
        <x:v>987</x:v>
      </x:c>
      <x:c r="H89" s="10" t="n">
        <x:f>'Raw Data'!G89</x:f>
        <x:v>20070</x:v>
      </x:c>
      <x:c r="I89" s="10" t="n">
        <x:f>'Raw Data'!H89</x:f>
        <x:v>903</x:v>
      </x:c>
      <x:c r="J89" s="10" t="str">
        <x:f>VLOOKUP(B89,'Lookups &amp; Notes'!$A$4:$B$5,2,FALSE)</x:f>
        <x:v>Retail</x:v>
      </x:c>
      <x:c r="K89" s="10" t="str">
        <x:f>VLOOKUP(C89,'Lookups &amp; Notes'!$A$8:$B$10,2,FALSE)</x:f>
        <x:v>Other</x:v>
      </x:c>
      <x:c r="L89" s="10" t="n">
        <x:f>SUM(D89:I89)</x:f>
        <x:v>150497</x:v>
      </x:c>
      <x:c r="M89" s="39" t="n">
        <x:f>IFERROR(F89/L89,0)</x:f>
        <x:v>0.21338631334843883</x:v>
      </x:c>
      <x:c r="N89" s="38" t="str">
        <x:f>IF(L89&gt;='Lookups &amp; Notes'!$E$4,"High Value","Standard")</x:f>
        <x:v>High Value</x:v>
      </x:c>
    </x:row>
    <x:row r="90">
      <x:c r="A90" s="38" t="str">
        <x:v>CUST-088</x:v>
      </x:c>
      <x:c r="B90" s="38" t="n">
        <x:f>'Raw Data'!A90</x:f>
        <x:v>1</x:v>
      </x:c>
      <x:c r="C90" s="38" t="n">
        <x:f>'Raw Data'!B90</x:f>
        <x:v>3</x:v>
      </x:c>
      <x:c r="D90" s="10" t="n">
        <x:f>'Raw Data'!C90</x:f>
        <x:v>43265</x:v>
      </x:c>
      <x:c r="E90" s="10" t="n">
        <x:f>'Raw Data'!D90</x:f>
        <x:v>5025</x:v>
      </x:c>
      <x:c r="F90" s="10" t="n">
        <x:f>'Raw Data'!E90</x:f>
        <x:v>8117</x:v>
      </x:c>
      <x:c r="G90" s="10" t="n">
        <x:f>'Raw Data'!F90</x:f>
        <x:v>6312</x:v>
      </x:c>
      <x:c r="H90" s="10" t="n">
        <x:f>'Raw Data'!G90</x:f>
        <x:v>1579</x:v>
      </x:c>
      <x:c r="I90" s="10" t="n">
        <x:f>'Raw Data'!H90</x:f>
        <x:v>14351</x:v>
      </x:c>
      <x:c r="J90" s="10" t="str">
        <x:f>VLOOKUP(B90,'Lookups &amp; Notes'!$A$4:$B$5,2,FALSE)</x:f>
        <x:v>Horeca</x:v>
      </x:c>
      <x:c r="K90" s="10" t="str">
        <x:f>VLOOKUP(C90,'Lookups &amp; Notes'!$A$8:$B$10,2,FALSE)</x:f>
        <x:v>Other</x:v>
      </x:c>
      <x:c r="L90" s="10" t="n">
        <x:f>SUM(D90:I90)</x:f>
        <x:v>78649</x:v>
      </x:c>
      <x:c r="M90" s="39" t="n">
        <x:f>IFERROR(F90/L90,0)</x:f>
        <x:v>0.10320538086943254</x:v>
      </x:c>
      <x:c r="N90" s="38" t="str">
        <x:f>IF(L90&gt;='Lookups &amp; Notes'!$E$4,"High Value","Standard")</x:f>
        <x:v>High Value</x:v>
      </x:c>
    </x:row>
    <x:row r="91">
      <x:c r="A91" s="38" t="str">
        <x:v>CUST-089</x:v>
      </x:c>
      <x:c r="B91" s="38" t="n">
        <x:f>'Raw Data'!A91</x:f>
        <x:v>1</x:v>
      </x:c>
      <x:c r="C91" s="38" t="n">
        <x:f>'Raw Data'!B91</x:f>
        <x:v>3</x:v>
      </x:c>
      <x:c r="D91" s="10" t="n">
        <x:f>'Raw Data'!C91</x:f>
        <x:v>7864</x:v>
      </x:c>
      <x:c r="E91" s="10" t="n">
        <x:f>'Raw Data'!D91</x:f>
        <x:v>542</x:v>
      </x:c>
      <x:c r="F91" s="10" t="n">
        <x:f>'Raw Data'!E91</x:f>
        <x:v>4042</x:v>
      </x:c>
      <x:c r="G91" s="10" t="n">
        <x:f>'Raw Data'!F91</x:f>
        <x:v>9735</x:v>
      </x:c>
      <x:c r="H91" s="10" t="n">
        <x:f>'Raw Data'!G91</x:f>
        <x:v>165</x:v>
      </x:c>
      <x:c r="I91" s="10" t="n">
        <x:f>'Raw Data'!H91</x:f>
        <x:v>46</x:v>
      </x:c>
      <x:c r="J91" s="10" t="str">
        <x:f>VLOOKUP(B91,'Lookups &amp; Notes'!$A$4:$B$5,2,FALSE)</x:f>
        <x:v>Horeca</x:v>
      </x:c>
      <x:c r="K91" s="10" t="str">
        <x:f>VLOOKUP(C91,'Lookups &amp; Notes'!$A$8:$B$10,2,FALSE)</x:f>
        <x:v>Other</x:v>
      </x:c>
      <x:c r="L91" s="10" t="n">
        <x:f>SUM(D91:I91)</x:f>
        <x:v>22394</x:v>
      </x:c>
      <x:c r="M91" s="39" t="n">
        <x:f>IFERROR(F91/L91,0)</x:f>
        <x:v>0.18049477538626418</x:v>
      </x:c>
      <x:c r="N91" s="38" t="str">
        <x:f>IF(L91&gt;='Lookups &amp; Notes'!$E$4,"High Value","Standard")</x:f>
        <x:v>Standard</x:v>
      </x:c>
    </x:row>
    <x:row r="92">
      <x:c r="A92" s="38" t="str">
        <x:v>CUST-090</x:v>
      </x:c>
      <x:c r="B92" s="38" t="n">
        <x:f>'Raw Data'!A92</x:f>
        <x:v>1</x:v>
      </x:c>
      <x:c r="C92" s="38" t="n">
        <x:f>'Raw Data'!B92</x:f>
        <x:v>3</x:v>
      </x:c>
      <x:c r="D92" s="10" t="n">
        <x:f>'Raw Data'!C92</x:f>
        <x:v>24904</x:v>
      </x:c>
      <x:c r="E92" s="10" t="n">
        <x:f>'Raw Data'!D92</x:f>
        <x:v>3836</x:v>
      </x:c>
      <x:c r="F92" s="10" t="n">
        <x:f>'Raw Data'!E92</x:f>
        <x:v>5330</x:v>
      </x:c>
      <x:c r="G92" s="10" t="n">
        <x:f>'Raw Data'!F92</x:f>
        <x:v>3443</x:v>
      </x:c>
      <x:c r="H92" s="10" t="n">
        <x:f>'Raw Data'!G92</x:f>
        <x:v>454</x:v>
      </x:c>
      <x:c r="I92" s="10" t="n">
        <x:f>'Raw Data'!H92</x:f>
        <x:v>3178</x:v>
      </x:c>
      <x:c r="J92" s="10" t="str">
        <x:f>VLOOKUP(B92,'Lookups &amp; Notes'!$A$4:$B$5,2,FALSE)</x:f>
        <x:v>Horeca</x:v>
      </x:c>
      <x:c r="K92" s="10" t="str">
        <x:f>VLOOKUP(C92,'Lookups &amp; Notes'!$A$8:$B$10,2,FALSE)</x:f>
        <x:v>Other</x:v>
      </x:c>
      <x:c r="L92" s="10" t="n">
        <x:f>SUM(D92:I92)</x:f>
        <x:v>41145</x:v>
      </x:c>
      <x:c r="M92" s="39" t="n">
        <x:f>IFERROR(F92/L92,0)</x:f>
        <x:v>0.12954186413902052</x:v>
      </x:c>
      <x:c r="N92" s="38" t="str">
        <x:f>IF(L92&gt;='Lookups &amp; Notes'!$E$4,"High Value","Standard")</x:f>
        <x:v>High Value</x:v>
      </x:c>
    </x:row>
    <x:row r="93">
      <x:c r="A93" s="38" t="str">
        <x:v>CUST-091</x:v>
      </x:c>
      <x:c r="B93" s="38" t="n">
        <x:f>'Raw Data'!A93</x:f>
        <x:v>1</x:v>
      </x:c>
      <x:c r="C93" s="38" t="n">
        <x:f>'Raw Data'!B93</x:f>
        <x:v>3</x:v>
      </x:c>
      <x:c r="D93" s="10" t="n">
        <x:f>'Raw Data'!C93</x:f>
        <x:v>11405</x:v>
      </x:c>
      <x:c r="E93" s="10" t="n">
        <x:f>'Raw Data'!D93</x:f>
        <x:v>596</x:v>
      </x:c>
      <x:c r="F93" s="10" t="n">
        <x:f>'Raw Data'!E93</x:f>
        <x:v>1638</x:v>
      </x:c>
      <x:c r="G93" s="10" t="n">
        <x:f>'Raw Data'!F93</x:f>
        <x:v>3347</x:v>
      </x:c>
      <x:c r="H93" s="10" t="n">
        <x:f>'Raw Data'!G93</x:f>
        <x:v>69</x:v>
      </x:c>
      <x:c r="I93" s="10" t="n">
        <x:f>'Raw Data'!H93</x:f>
        <x:v>360</x:v>
      </x:c>
      <x:c r="J93" s="10" t="str">
        <x:f>VLOOKUP(B93,'Lookups &amp; Notes'!$A$4:$B$5,2,FALSE)</x:f>
        <x:v>Horeca</x:v>
      </x:c>
      <x:c r="K93" s="10" t="str">
        <x:f>VLOOKUP(C93,'Lookups &amp; Notes'!$A$8:$B$10,2,FALSE)</x:f>
        <x:v>Other</x:v>
      </x:c>
      <x:c r="L93" s="10" t="n">
        <x:f>SUM(D93:I93)</x:f>
        <x:v>17415</x:v>
      </x:c>
      <x:c r="M93" s="39" t="n">
        <x:f>IFERROR(F93/L93,0)</x:f>
        <x:v>0.09405684754521963</x:v>
      </x:c>
      <x:c r="N93" s="38" t="str">
        <x:f>IF(L93&gt;='Lookups &amp; Notes'!$E$4,"High Value","Standard")</x:f>
        <x:v>Standard</x:v>
      </x:c>
    </x:row>
    <x:row r="94">
      <x:c r="A94" s="38" t="str">
        <x:v>CUST-092</x:v>
      </x:c>
      <x:c r="B94" s="38" t="n">
        <x:f>'Raw Data'!A94</x:f>
        <x:v>1</x:v>
      </x:c>
      <x:c r="C94" s="38" t="n">
        <x:f>'Raw Data'!B94</x:f>
        <x:v>3</x:v>
      </x:c>
      <x:c r="D94" s="10" t="n">
        <x:f>'Raw Data'!C94</x:f>
        <x:v>12754</x:v>
      </x:c>
      <x:c r="E94" s="10" t="n">
        <x:f>'Raw Data'!D94</x:f>
        <x:v>2762</x:v>
      </x:c>
      <x:c r="F94" s="10" t="n">
        <x:f>'Raw Data'!E94</x:f>
        <x:v>2530</x:v>
      </x:c>
      <x:c r="G94" s="10" t="n">
        <x:f>'Raw Data'!F94</x:f>
        <x:v>8693</x:v>
      </x:c>
      <x:c r="H94" s="10" t="n">
        <x:f>'Raw Data'!G94</x:f>
        <x:v>627</x:v>
      </x:c>
      <x:c r="I94" s="10" t="n">
        <x:f>'Raw Data'!H94</x:f>
        <x:v>1117</x:v>
      </x:c>
      <x:c r="J94" s="10" t="str">
        <x:f>VLOOKUP(B94,'Lookups &amp; Notes'!$A$4:$B$5,2,FALSE)</x:f>
        <x:v>Horeca</x:v>
      </x:c>
      <x:c r="K94" s="10" t="str">
        <x:f>VLOOKUP(C94,'Lookups &amp; Notes'!$A$8:$B$10,2,FALSE)</x:f>
        <x:v>Other</x:v>
      </x:c>
      <x:c r="L94" s="10" t="n">
        <x:f>SUM(D94:I94)</x:f>
        <x:v>28483</x:v>
      </x:c>
      <x:c r="M94" s="39" t="n">
        <x:f>IFERROR(F94/L94,0)</x:f>
        <x:v>0.08882491310606326</x:v>
      </x:c>
      <x:c r="N94" s="38" t="str">
        <x:f>IF(L94&gt;='Lookups &amp; Notes'!$E$4,"High Value","Standard")</x:f>
        <x:v>High Value</x:v>
      </x:c>
    </x:row>
    <x:row r="95">
      <x:c r="A95" s="38" t="str">
        <x:v>CUST-093</x:v>
      </x:c>
      <x:c r="B95" s="38" t="n">
        <x:f>'Raw Data'!A95</x:f>
        <x:v>2</x:v>
      </x:c>
      <x:c r="C95" s="38" t="n">
        <x:f>'Raw Data'!B95</x:f>
        <x:v>3</x:v>
      </x:c>
      <x:c r="D95" s="10" t="n">
        <x:f>'Raw Data'!C95</x:f>
        <x:v>9198</x:v>
      </x:c>
      <x:c r="E95" s="10" t="n">
        <x:f>'Raw Data'!D95</x:f>
        <x:v>27472</x:v>
      </x:c>
      <x:c r="F95" s="10" t="n">
        <x:f>'Raw Data'!E95</x:f>
        <x:v>32034</x:v>
      </x:c>
      <x:c r="G95" s="10" t="n">
        <x:f>'Raw Data'!F95</x:f>
        <x:v>3232</x:v>
      </x:c>
      <x:c r="H95" s="10" t="n">
        <x:f>'Raw Data'!G95</x:f>
        <x:v>18906</x:v>
      </x:c>
      <x:c r="I95" s="10" t="n">
        <x:f>'Raw Data'!H95</x:f>
        <x:v>5130</x:v>
      </x:c>
      <x:c r="J95" s="10" t="str">
        <x:f>VLOOKUP(B95,'Lookups &amp; Notes'!$A$4:$B$5,2,FALSE)</x:f>
        <x:v>Retail</x:v>
      </x:c>
      <x:c r="K95" s="10" t="str">
        <x:f>VLOOKUP(C95,'Lookups &amp; Notes'!$A$8:$B$10,2,FALSE)</x:f>
        <x:v>Other</x:v>
      </x:c>
      <x:c r="L95" s="10" t="n">
        <x:f>SUM(D95:I95)</x:f>
        <x:v>95972</x:v>
      </x:c>
      <x:c r="M95" s="39" t="n">
        <x:f>IFERROR(F95/L95,0)</x:f>
        <x:v>0.33378485391572543</x:v>
      </x:c>
      <x:c r="N95" s="38" t="str">
        <x:f>IF(L95&gt;='Lookups &amp; Notes'!$E$4,"High Value","Standard")</x:f>
        <x:v>High Value</x:v>
      </x:c>
    </x:row>
    <x:row r="96">
      <x:c r="A96" s="38" t="str">
        <x:v>CUST-094</x:v>
      </x:c>
      <x:c r="B96" s="38" t="n">
        <x:f>'Raw Data'!A96</x:f>
        <x:v>1</x:v>
      </x:c>
      <x:c r="C96" s="38" t="n">
        <x:f>'Raw Data'!B96</x:f>
        <x:v>3</x:v>
      </x:c>
      <x:c r="D96" s="10" t="n">
        <x:f>'Raw Data'!C96</x:f>
        <x:v>11314</x:v>
      </x:c>
      <x:c r="E96" s="10" t="n">
        <x:f>'Raw Data'!D96</x:f>
        <x:v>3090</x:v>
      </x:c>
      <x:c r="F96" s="10" t="n">
        <x:f>'Raw Data'!E96</x:f>
        <x:v>2062</x:v>
      </x:c>
      <x:c r="G96" s="10" t="n">
        <x:f>'Raw Data'!F96</x:f>
        <x:v>35009</x:v>
      </x:c>
      <x:c r="H96" s="10" t="n">
        <x:f>'Raw Data'!G96</x:f>
        <x:v>71</x:v>
      </x:c>
      <x:c r="I96" s="10" t="n">
        <x:f>'Raw Data'!H96</x:f>
        <x:v>2698</x:v>
      </x:c>
      <x:c r="J96" s="10" t="str">
        <x:f>VLOOKUP(B96,'Lookups &amp; Notes'!$A$4:$B$5,2,FALSE)</x:f>
        <x:v>Horeca</x:v>
      </x:c>
      <x:c r="K96" s="10" t="str">
        <x:f>VLOOKUP(C96,'Lookups &amp; Notes'!$A$8:$B$10,2,FALSE)</x:f>
        <x:v>Other</x:v>
      </x:c>
      <x:c r="L96" s="10" t="n">
        <x:f>SUM(D96:I96)</x:f>
        <x:v>54244</x:v>
      </x:c>
      <x:c r="M96" s="39" t="n">
        <x:f>IFERROR(F96/L96,0)</x:f>
        <x:v>0.038013420839171155</x:v>
      </x:c>
      <x:c r="N96" s="38" t="str">
        <x:f>IF(L96&gt;='Lookups &amp; Notes'!$E$4,"High Value","Standard")</x:f>
        <x:v>High Value</x:v>
      </x:c>
    </x:row>
    <x:row r="97">
      <x:c r="A97" s="38" t="str">
        <x:v>CUST-095</x:v>
      </x:c>
      <x:c r="B97" s="38" t="n">
        <x:f>'Raw Data'!A97</x:f>
        <x:v>2</x:v>
      </x:c>
      <x:c r="C97" s="38" t="n">
        <x:f>'Raw Data'!B97</x:f>
        <x:v>3</x:v>
      </x:c>
      <x:c r="D97" s="10" t="n">
        <x:f>'Raw Data'!C97</x:f>
        <x:v>5626</x:v>
      </x:c>
      <x:c r="E97" s="10" t="n">
        <x:f>'Raw Data'!D97</x:f>
        <x:v>12220</x:v>
      </x:c>
      <x:c r="F97" s="10" t="n">
        <x:f>'Raw Data'!E97</x:f>
        <x:v>11323</x:v>
      </x:c>
      <x:c r="G97" s="10" t="n">
        <x:f>'Raw Data'!F97</x:f>
        <x:v>206</x:v>
      </x:c>
      <x:c r="H97" s="10" t="n">
        <x:f>'Raw Data'!G97</x:f>
        <x:v>5038</x:v>
      </x:c>
      <x:c r="I97" s="10" t="n">
        <x:f>'Raw Data'!H97</x:f>
        <x:v>244</x:v>
      </x:c>
      <x:c r="J97" s="10" t="str">
        <x:f>VLOOKUP(B97,'Lookups &amp; Notes'!$A$4:$B$5,2,FALSE)</x:f>
        <x:v>Retail</x:v>
      </x:c>
      <x:c r="K97" s="10" t="str">
        <x:f>VLOOKUP(C97,'Lookups &amp; Notes'!$A$8:$B$10,2,FALSE)</x:f>
        <x:v>Other</x:v>
      </x:c>
      <x:c r="L97" s="10" t="n">
        <x:f>SUM(D97:I97)</x:f>
        <x:v>34657</x:v>
      </x:c>
      <x:c r="M97" s="39" t="n">
        <x:f>IFERROR(F97/L97,0)</x:f>
        <x:v>0.32671610352886865</x:v>
      </x:c>
      <x:c r="N97" s="38" t="str">
        <x:f>IF(L97&gt;='Lookups &amp; Notes'!$E$4,"High Value","Standard")</x:f>
        <x:v>High Value</x:v>
      </x:c>
    </x:row>
    <x:row r="98">
      <x:c r="A98" s="38" t="str">
        <x:v>CUST-096</x:v>
      </x:c>
      <x:c r="B98" s="38" t="n">
        <x:f>'Raw Data'!A98</x:f>
        <x:v>1</x:v>
      </x:c>
      <x:c r="C98" s="38" t="n">
        <x:f>'Raw Data'!B98</x:f>
        <x:v>3</x:v>
      </x:c>
      <x:c r="D98" s="10" t="n">
        <x:f>'Raw Data'!C98</x:f>
        <x:v>3</x:v>
      </x:c>
      <x:c r="E98" s="10" t="n">
        <x:f>'Raw Data'!D98</x:f>
        <x:v>2920</x:v>
      </x:c>
      <x:c r="F98" s="10" t="n">
        <x:f>'Raw Data'!E98</x:f>
        <x:v>6252</x:v>
      </x:c>
      <x:c r="G98" s="10" t="n">
        <x:f>'Raw Data'!F98</x:f>
        <x:v>440</x:v>
      </x:c>
      <x:c r="H98" s="10" t="n">
        <x:f>'Raw Data'!G98</x:f>
        <x:v>223</x:v>
      </x:c>
      <x:c r="I98" s="10" t="n">
        <x:f>'Raw Data'!H98</x:f>
        <x:v>709</x:v>
      </x:c>
      <x:c r="J98" s="10" t="str">
        <x:f>VLOOKUP(B98,'Lookups &amp; Notes'!$A$4:$B$5,2,FALSE)</x:f>
        <x:v>Horeca</x:v>
      </x:c>
      <x:c r="K98" s="10" t="str">
        <x:f>VLOOKUP(C98,'Lookups &amp; Notes'!$A$8:$B$10,2,FALSE)</x:f>
        <x:v>Other</x:v>
      </x:c>
      <x:c r="L98" s="10" t="n">
        <x:f>SUM(D98:I98)</x:f>
        <x:v>10547</x:v>
      </x:c>
      <x:c r="M98" s="39" t="n">
        <x:f>IFERROR(F98/L98,0)</x:f>
        <x:v>0.5927751967384091</x:v>
      </x:c>
      <x:c r="N98" s="38" t="str">
        <x:f>IF(L98&gt;='Lookups &amp; Notes'!$E$4,"High Value","Standard")</x:f>
        <x:v>Standard</x:v>
      </x:c>
    </x:row>
    <x:row r="99">
      <x:c r="A99" s="38" t="str">
        <x:v>CUST-097</x:v>
      </x:c>
      <x:c r="B99" s="38" t="n">
        <x:f>'Raw Data'!A99</x:f>
        <x:v>2</x:v>
      </x:c>
      <x:c r="C99" s="38" t="n">
        <x:f>'Raw Data'!B99</x:f>
        <x:v>3</x:v>
      </x:c>
      <x:c r="D99" s="10" t="n">
        <x:f>'Raw Data'!C99</x:f>
        <x:v>23</x:v>
      </x:c>
      <x:c r="E99" s="10" t="n">
        <x:f>'Raw Data'!D99</x:f>
        <x:v>2616</x:v>
      </x:c>
      <x:c r="F99" s="10" t="n">
        <x:f>'Raw Data'!E99</x:f>
        <x:v>8118</x:v>
      </x:c>
      <x:c r="G99" s="10" t="n">
        <x:f>'Raw Data'!F99</x:f>
        <x:v>145</x:v>
      </x:c>
      <x:c r="H99" s="10" t="n">
        <x:f>'Raw Data'!G99</x:f>
        <x:v>3874</x:v>
      </x:c>
      <x:c r="I99" s="10" t="n">
        <x:f>'Raw Data'!H99</x:f>
        <x:v>217</x:v>
      </x:c>
      <x:c r="J99" s="10" t="str">
        <x:f>VLOOKUP(B99,'Lookups &amp; Notes'!$A$4:$B$5,2,FALSE)</x:f>
        <x:v>Retail</x:v>
      </x:c>
      <x:c r="K99" s="10" t="str">
        <x:f>VLOOKUP(C99,'Lookups &amp; Notes'!$A$8:$B$10,2,FALSE)</x:f>
        <x:v>Other</x:v>
      </x:c>
      <x:c r="L99" s="10" t="n">
        <x:f>SUM(D99:I99)</x:f>
        <x:v>14993</x:v>
      </x:c>
      <x:c r="M99" s="39" t="n">
        <x:f>IFERROR(F99/L99,0)</x:f>
        <x:v>0.541452677916361</x:v>
      </x:c>
      <x:c r="N99" s="38" t="str">
        <x:f>IF(L99&gt;='Lookups &amp; Notes'!$E$4,"High Value","Standard")</x:f>
        <x:v>Standard</x:v>
      </x:c>
    </x:row>
    <x:row r="100">
      <x:c r="A100" s="38" t="str">
        <x:v>CUST-098</x:v>
      </x:c>
      <x:c r="B100" s="38" t="n">
        <x:f>'Raw Data'!A100</x:f>
        <x:v>1</x:v>
      </x:c>
      <x:c r="C100" s="38" t="n">
        <x:f>'Raw Data'!B100</x:f>
        <x:v>3</x:v>
      </x:c>
      <x:c r="D100" s="10" t="n">
        <x:f>'Raw Data'!C100</x:f>
        <x:v>403</x:v>
      </x:c>
      <x:c r="E100" s="10" t="n">
        <x:f>'Raw Data'!D100</x:f>
        <x:v>254</x:v>
      </x:c>
      <x:c r="F100" s="10" t="n">
        <x:f>'Raw Data'!E100</x:f>
        <x:v>610</x:v>
      </x:c>
      <x:c r="G100" s="10" t="n">
        <x:f>'Raw Data'!F100</x:f>
        <x:v>774</x:v>
      </x:c>
      <x:c r="H100" s="10" t="n">
        <x:f>'Raw Data'!G100</x:f>
        <x:v>54</x:v>
      </x:c>
      <x:c r="I100" s="10" t="n">
        <x:f>'Raw Data'!H100</x:f>
        <x:v>63</x:v>
      </x:c>
      <x:c r="J100" s="10" t="str">
        <x:f>VLOOKUP(B100,'Lookups &amp; Notes'!$A$4:$B$5,2,FALSE)</x:f>
        <x:v>Horeca</x:v>
      </x:c>
      <x:c r="K100" s="10" t="str">
        <x:f>VLOOKUP(C100,'Lookups &amp; Notes'!$A$8:$B$10,2,FALSE)</x:f>
        <x:v>Other</x:v>
      </x:c>
      <x:c r="L100" s="10" t="n">
        <x:f>SUM(D100:I100)</x:f>
        <x:v>2158</x:v>
      </x:c>
      <x:c r="M100" s="39" t="n">
        <x:f>IFERROR(F100/L100,0)</x:f>
        <x:v>0.28266913809082483</x:v>
      </x:c>
      <x:c r="N100" s="38" t="str">
        <x:f>IF(L100&gt;='Lookups &amp; Notes'!$E$4,"High Value","Standard")</x:f>
        <x:v>Standard</x:v>
      </x:c>
    </x:row>
    <x:row r="101">
      <x:c r="A101" s="38" t="str">
        <x:v>CUST-099</x:v>
      </x:c>
      <x:c r="B101" s="38" t="n">
        <x:f>'Raw Data'!A101</x:f>
        <x:v>1</x:v>
      </x:c>
      <x:c r="C101" s="38" t="n">
        <x:f>'Raw Data'!B101</x:f>
        <x:v>3</x:v>
      </x:c>
      <x:c r="D101" s="10" t="n">
        <x:f>'Raw Data'!C101</x:f>
        <x:v>503</x:v>
      </x:c>
      <x:c r="E101" s="10" t="n">
        <x:f>'Raw Data'!D101</x:f>
        <x:v>112</x:v>
      </x:c>
      <x:c r="F101" s="10" t="n">
        <x:f>'Raw Data'!E101</x:f>
        <x:v>778</x:v>
      </x:c>
      <x:c r="G101" s="10" t="n">
        <x:f>'Raw Data'!F101</x:f>
        <x:v>895</x:v>
      </x:c>
      <x:c r="H101" s="10" t="n">
        <x:f>'Raw Data'!G101</x:f>
        <x:v>56</x:v>
      </x:c>
      <x:c r="I101" s="10" t="n">
        <x:f>'Raw Data'!H101</x:f>
        <x:v>132</x:v>
      </x:c>
      <x:c r="J101" s="10" t="str">
        <x:f>VLOOKUP(B101,'Lookups &amp; Notes'!$A$4:$B$5,2,FALSE)</x:f>
        <x:v>Horeca</x:v>
      </x:c>
      <x:c r="K101" s="10" t="str">
        <x:f>VLOOKUP(C101,'Lookups &amp; Notes'!$A$8:$B$10,2,FALSE)</x:f>
        <x:v>Other</x:v>
      </x:c>
      <x:c r="L101" s="10" t="n">
        <x:f>SUM(D101:I101)</x:f>
        <x:v>2476</x:v>
      </x:c>
      <x:c r="M101" s="39" t="n">
        <x:f>IFERROR(F101/L101,0)</x:f>
        <x:v>0.31421647819063003</x:v>
      </x:c>
      <x:c r="N101" s="38" t="str">
        <x:f>IF(L101&gt;='Lookups &amp; Notes'!$E$4,"High Value","Standard")</x:f>
        <x:v>Standard</x:v>
      </x:c>
    </x:row>
    <x:row r="102">
      <x:c r="A102" s="38" t="str">
        <x:v>CUST-100</x:v>
      </x:c>
      <x:c r="B102" s="38" t="n">
        <x:f>'Raw Data'!A102</x:f>
        <x:v>1</x:v>
      </x:c>
      <x:c r="C102" s="38" t="n">
        <x:f>'Raw Data'!B102</x:f>
        <x:v>3</x:v>
      </x:c>
      <x:c r="D102" s="10" t="n">
        <x:f>'Raw Data'!C102</x:f>
        <x:v>9658</x:v>
      </x:c>
      <x:c r="E102" s="10" t="n">
        <x:f>'Raw Data'!D102</x:f>
        <x:v>2182</x:v>
      </x:c>
      <x:c r="F102" s="10" t="n">
        <x:f>'Raw Data'!E102</x:f>
        <x:v>1909</x:v>
      </x:c>
      <x:c r="G102" s="10" t="n">
        <x:f>'Raw Data'!F102</x:f>
        <x:v>5639</x:v>
      </x:c>
      <x:c r="H102" s="10" t="n">
        <x:f>'Raw Data'!G102</x:f>
        <x:v>215</x:v>
      </x:c>
      <x:c r="I102" s="10" t="n">
        <x:f>'Raw Data'!H102</x:f>
        <x:v>323</x:v>
      </x:c>
      <x:c r="J102" s="10" t="str">
        <x:f>VLOOKUP(B102,'Lookups &amp; Notes'!$A$4:$B$5,2,FALSE)</x:f>
        <x:v>Horeca</x:v>
      </x:c>
      <x:c r="K102" s="10" t="str">
        <x:f>VLOOKUP(C102,'Lookups &amp; Notes'!$A$8:$B$10,2,FALSE)</x:f>
        <x:v>Other</x:v>
      </x:c>
      <x:c r="L102" s="10" t="n">
        <x:f>SUM(D102:I102)</x:f>
        <x:v>19926</x:v>
      </x:c>
      <x:c r="M102" s="39" t="n">
        <x:f>IFERROR(F102/L102,0)</x:f>
        <x:v>0.09580447656328415</x:v>
      </x:c>
      <x:c r="N102" s="38" t="str">
        <x:f>IF(L102&gt;='Lookups &amp; Notes'!$E$4,"High Value","Standard")</x:f>
        <x:v>Standard</x:v>
      </x:c>
    </x:row>
    <x:row r="103">
      <x:c r="A103" s="38" t="str">
        <x:v>CUST-101</x:v>
      </x:c>
      <x:c r="B103" s="38" t="n">
        <x:f>'Raw Data'!A103</x:f>
        <x:v>2</x:v>
      </x:c>
      <x:c r="C103" s="38" t="n">
        <x:f>'Raw Data'!B103</x:f>
        <x:v>3</x:v>
      </x:c>
      <x:c r="D103" s="10" t="n">
        <x:f>'Raw Data'!C103</x:f>
        <x:v>11594</x:v>
      </x:c>
      <x:c r="E103" s="10" t="n">
        <x:f>'Raw Data'!D103</x:f>
        <x:v>7779</x:v>
      </x:c>
      <x:c r="F103" s="10" t="n">
        <x:f>'Raw Data'!E103</x:f>
        <x:v>12144</x:v>
      </x:c>
      <x:c r="G103" s="10" t="n">
        <x:f>'Raw Data'!F103</x:f>
        <x:v>3252</x:v>
      </x:c>
      <x:c r="H103" s="10" t="n">
        <x:f>'Raw Data'!G103</x:f>
        <x:v>8035</x:v>
      </x:c>
      <x:c r="I103" s="10" t="n">
        <x:f>'Raw Data'!H103</x:f>
        <x:v>3029</x:v>
      </x:c>
      <x:c r="J103" s="10" t="str">
        <x:f>VLOOKUP(B103,'Lookups &amp; Notes'!$A$4:$B$5,2,FALSE)</x:f>
        <x:v>Retail</x:v>
      </x:c>
      <x:c r="K103" s="10" t="str">
        <x:f>VLOOKUP(C103,'Lookups &amp; Notes'!$A$8:$B$10,2,FALSE)</x:f>
        <x:v>Other</x:v>
      </x:c>
      <x:c r="L103" s="10" t="n">
        <x:f>SUM(D103:I103)</x:f>
        <x:v>45833</x:v>
      </x:c>
      <x:c r="M103" s="39" t="n">
        <x:f>IFERROR(F103/L103,0)</x:f>
        <x:v>0.2649619269958327</x:v>
      </x:c>
      <x:c r="N103" s="38" t="str">
        <x:f>IF(L103&gt;='Lookups &amp; Notes'!$E$4,"High Value","Standard")</x:f>
        <x:v>High Value</x:v>
      </x:c>
    </x:row>
    <x:row r="104">
      <x:c r="A104" s="38" t="str">
        <x:v>CUST-102</x:v>
      </x:c>
      <x:c r="B104" s="38" t="n">
        <x:f>'Raw Data'!A104</x:f>
        <x:v>2</x:v>
      </x:c>
      <x:c r="C104" s="38" t="n">
        <x:f>'Raw Data'!B104</x:f>
        <x:v>3</x:v>
      </x:c>
      <x:c r="D104" s="10" t="n">
        <x:f>'Raw Data'!C104</x:f>
        <x:v>1420</x:v>
      </x:c>
      <x:c r="E104" s="10" t="n">
        <x:f>'Raw Data'!D104</x:f>
        <x:v>10810</x:v>
      </x:c>
      <x:c r="F104" s="10" t="n">
        <x:f>'Raw Data'!E104</x:f>
        <x:v>16267</x:v>
      </x:c>
      <x:c r="G104" s="10" t="n">
        <x:f>'Raw Data'!F104</x:f>
        <x:v>1593</x:v>
      </x:c>
      <x:c r="H104" s="10" t="n">
        <x:f>'Raw Data'!G104</x:f>
        <x:v>6766</x:v>
      </x:c>
      <x:c r="I104" s="10" t="n">
        <x:f>'Raw Data'!H104</x:f>
        <x:v>1838</x:v>
      </x:c>
      <x:c r="J104" s="10" t="str">
        <x:f>VLOOKUP(B104,'Lookups &amp; Notes'!$A$4:$B$5,2,FALSE)</x:f>
        <x:v>Retail</x:v>
      </x:c>
      <x:c r="K104" s="10" t="str">
        <x:f>VLOOKUP(C104,'Lookups &amp; Notes'!$A$8:$B$10,2,FALSE)</x:f>
        <x:v>Other</x:v>
      </x:c>
      <x:c r="L104" s="10" t="n">
        <x:f>SUM(D104:I104)</x:f>
        <x:v>38694</x:v>
      </x:c>
      <x:c r="M104" s="39" t="n">
        <x:f>IFERROR(F104/L104,0)</x:f>
        <x:v>0.4204010957771231</x:v>
      </x:c>
      <x:c r="N104" s="38" t="str">
        <x:f>IF(L104&gt;='Lookups &amp; Notes'!$E$4,"High Value","Standard")</x:f>
        <x:v>High Value</x:v>
      </x:c>
    </x:row>
    <x:row r="105">
      <x:c r="A105" s="38" t="str">
        <x:v>CUST-103</x:v>
      </x:c>
      <x:c r="B105" s="38" t="n">
        <x:f>'Raw Data'!A105</x:f>
        <x:v>2</x:v>
      </x:c>
      <x:c r="C105" s="38" t="n">
        <x:f>'Raw Data'!B105</x:f>
        <x:v>3</x:v>
      </x:c>
      <x:c r="D105" s="10" t="n">
        <x:f>'Raw Data'!C105</x:f>
        <x:v>2932</x:v>
      </x:c>
      <x:c r="E105" s="10" t="n">
        <x:f>'Raw Data'!D105</x:f>
        <x:v>6459</x:v>
      </x:c>
      <x:c r="F105" s="10" t="n">
        <x:f>'Raw Data'!E105</x:f>
        <x:v>7677</x:v>
      </x:c>
      <x:c r="G105" s="10" t="n">
        <x:f>'Raw Data'!F105</x:f>
        <x:v>2561</x:v>
      </x:c>
      <x:c r="H105" s="10" t="n">
        <x:f>'Raw Data'!G105</x:f>
        <x:v>4573</x:v>
      </x:c>
      <x:c r="I105" s="10" t="n">
        <x:f>'Raw Data'!H105</x:f>
        <x:v>1386</x:v>
      </x:c>
      <x:c r="J105" s="10" t="str">
        <x:f>VLOOKUP(B105,'Lookups &amp; Notes'!$A$4:$B$5,2,FALSE)</x:f>
        <x:v>Retail</x:v>
      </x:c>
      <x:c r="K105" s="10" t="str">
        <x:f>VLOOKUP(C105,'Lookups &amp; Notes'!$A$8:$B$10,2,FALSE)</x:f>
        <x:v>Other</x:v>
      </x:c>
      <x:c r="L105" s="10" t="n">
        <x:f>SUM(D105:I105)</x:f>
        <x:v>25588</x:v>
      </x:c>
      <x:c r="M105" s="39" t="n">
        <x:f>IFERROR(F105/L105,0)</x:f>
        <x:v>0.3000234484914804</x:v>
      </x:c>
      <x:c r="N105" s="38" t="str">
        <x:f>IF(L105&gt;='Lookups &amp; Notes'!$E$4,"High Value","Standard")</x:f>
        <x:v>Standard</x:v>
      </x:c>
    </x:row>
    <x:row r="106">
      <x:c r="A106" s="38" t="str">
        <x:v>CUST-104</x:v>
      </x:c>
      <x:c r="B106" s="38" t="n">
        <x:f>'Raw Data'!A106</x:f>
        <x:v>1</x:v>
      </x:c>
      <x:c r="C106" s="38" t="n">
        <x:f>'Raw Data'!B106</x:f>
        <x:v>3</x:v>
      </x:c>
      <x:c r="D106" s="10" t="n">
        <x:f>'Raw Data'!C106</x:f>
        <x:v>56082</x:v>
      </x:c>
      <x:c r="E106" s="10" t="n">
        <x:f>'Raw Data'!D106</x:f>
        <x:v>3504</x:v>
      </x:c>
      <x:c r="F106" s="10" t="n">
        <x:f>'Raw Data'!E106</x:f>
        <x:v>8906</x:v>
      </x:c>
      <x:c r="G106" s="10" t="n">
        <x:f>'Raw Data'!F106</x:f>
        <x:v>18028</x:v>
      </x:c>
      <x:c r="H106" s="10" t="n">
        <x:f>'Raw Data'!G106</x:f>
        <x:v>1480</x:v>
      </x:c>
      <x:c r="I106" s="10" t="n">
        <x:f>'Raw Data'!H106</x:f>
        <x:v>2498</x:v>
      </x:c>
      <x:c r="J106" s="10" t="str">
        <x:f>VLOOKUP(B106,'Lookups &amp; Notes'!$A$4:$B$5,2,FALSE)</x:f>
        <x:v>Horeca</x:v>
      </x:c>
      <x:c r="K106" s="10" t="str">
        <x:f>VLOOKUP(C106,'Lookups &amp; Notes'!$A$8:$B$10,2,FALSE)</x:f>
        <x:v>Other</x:v>
      </x:c>
      <x:c r="L106" s="10" t="n">
        <x:f>SUM(D106:I106)</x:f>
        <x:v>90498</x:v>
      </x:c>
      <x:c r="M106" s="39" t="n">
        <x:f>IFERROR(F106/L106,0)</x:f>
        <x:v>0.09841101460805764</x:v>
      </x:c>
      <x:c r="N106" s="38" t="str">
        <x:f>IF(L106&gt;='Lookups &amp; Notes'!$E$4,"High Value","Standard")</x:f>
        <x:v>High Value</x:v>
      </x:c>
    </x:row>
    <x:row r="107">
      <x:c r="A107" s="38" t="str">
        <x:v>CUST-105</x:v>
      </x:c>
      <x:c r="B107" s="38" t="n">
        <x:f>'Raw Data'!A107</x:f>
        <x:v>1</x:v>
      </x:c>
      <x:c r="C107" s="38" t="n">
        <x:f>'Raw Data'!B107</x:f>
        <x:v>3</x:v>
      </x:c>
      <x:c r="D107" s="10" t="n">
        <x:f>'Raw Data'!C107</x:f>
        <x:v>14100</x:v>
      </x:c>
      <x:c r="E107" s="10" t="n">
        <x:f>'Raw Data'!D107</x:f>
        <x:v>2132</x:v>
      </x:c>
      <x:c r="F107" s="10" t="n">
        <x:f>'Raw Data'!E107</x:f>
        <x:v>3445</x:v>
      </x:c>
      <x:c r="G107" s="10" t="n">
        <x:f>'Raw Data'!F107</x:f>
        <x:v>1336</x:v>
      </x:c>
      <x:c r="H107" s="10" t="n">
        <x:f>'Raw Data'!G107</x:f>
        <x:v>1491</x:v>
      </x:c>
      <x:c r="I107" s="10" t="n">
        <x:f>'Raw Data'!H107</x:f>
        <x:v>548</x:v>
      </x:c>
      <x:c r="J107" s="10" t="str">
        <x:f>VLOOKUP(B107,'Lookups &amp; Notes'!$A$4:$B$5,2,FALSE)</x:f>
        <x:v>Horeca</x:v>
      </x:c>
      <x:c r="K107" s="10" t="str">
        <x:f>VLOOKUP(C107,'Lookups &amp; Notes'!$A$8:$B$10,2,FALSE)</x:f>
        <x:v>Other</x:v>
      </x:c>
      <x:c r="L107" s="10" t="n">
        <x:f>SUM(D107:I107)</x:f>
        <x:v>23052</x:v>
      </x:c>
      <x:c r="M107" s="39" t="n">
        <x:f>IFERROR(F107/L107,0)</x:f>
        <x:v>0.14944473364567065</x:v>
      </x:c>
      <x:c r="N107" s="38" t="str">
        <x:f>IF(L107&gt;='Lookups &amp; Notes'!$E$4,"High Value","Standard")</x:f>
        <x:v>Standard</x:v>
      </x:c>
    </x:row>
    <x:row r="108">
      <x:c r="A108" s="38" t="str">
        <x:v>CUST-106</x:v>
      </x:c>
      <x:c r="B108" s="38" t="n">
        <x:f>'Raw Data'!A108</x:f>
        <x:v>1</x:v>
      </x:c>
      <x:c r="C108" s="38" t="n">
        <x:f>'Raw Data'!B108</x:f>
        <x:v>3</x:v>
      </x:c>
      <x:c r="D108" s="10" t="n">
        <x:f>'Raw Data'!C108</x:f>
        <x:v>15587</x:v>
      </x:c>
      <x:c r="E108" s="10" t="n">
        <x:f>'Raw Data'!D108</x:f>
        <x:v>1014</x:v>
      </x:c>
      <x:c r="F108" s="10" t="n">
        <x:f>'Raw Data'!E108</x:f>
        <x:v>3970</x:v>
      </x:c>
      <x:c r="G108" s="10" t="n">
        <x:f>'Raw Data'!F108</x:f>
        <x:v>910</x:v>
      </x:c>
      <x:c r="H108" s="10" t="n">
        <x:f>'Raw Data'!G108</x:f>
        <x:v>139</x:v>
      </x:c>
      <x:c r="I108" s="10" t="n">
        <x:f>'Raw Data'!H108</x:f>
        <x:v>1378</x:v>
      </x:c>
      <x:c r="J108" s="10" t="str">
        <x:f>VLOOKUP(B108,'Lookups &amp; Notes'!$A$4:$B$5,2,FALSE)</x:f>
        <x:v>Horeca</x:v>
      </x:c>
      <x:c r="K108" s="10" t="str">
        <x:f>VLOOKUP(C108,'Lookups &amp; Notes'!$A$8:$B$10,2,FALSE)</x:f>
        <x:v>Other</x:v>
      </x:c>
      <x:c r="L108" s="10" t="n">
        <x:f>SUM(D108:I108)</x:f>
        <x:v>22998</x:v>
      </x:c>
      <x:c r="M108" s="39" t="n">
        <x:f>IFERROR(F108/L108,0)</x:f>
        <x:v>0.17262370640925298</x:v>
      </x:c>
      <x:c r="N108" s="38" t="str">
        <x:f>IF(L108&gt;='Lookups &amp; Notes'!$E$4,"High Value","Standard")</x:f>
        <x:v>Standard</x:v>
      </x:c>
    </x:row>
    <x:row r="109">
      <x:c r="A109" s="38" t="str">
        <x:v>CUST-107</x:v>
      </x:c>
      <x:c r="B109" s="38" t="n">
        <x:f>'Raw Data'!A109</x:f>
        <x:v>2</x:v>
      </x:c>
      <x:c r="C109" s="38" t="n">
        <x:f>'Raw Data'!B109</x:f>
        <x:v>3</x:v>
      </x:c>
      <x:c r="D109" s="10" t="n">
        <x:f>'Raw Data'!C109</x:f>
        <x:v>1454</x:v>
      </x:c>
      <x:c r="E109" s="10" t="n">
        <x:f>'Raw Data'!D109</x:f>
        <x:v>6337</x:v>
      </x:c>
      <x:c r="F109" s="10" t="n">
        <x:f>'Raw Data'!E109</x:f>
        <x:v>10704</x:v>
      </x:c>
      <x:c r="G109" s="10" t="n">
        <x:f>'Raw Data'!F109</x:f>
        <x:v>133</x:v>
      </x:c>
      <x:c r="H109" s="10" t="n">
        <x:f>'Raw Data'!G109</x:f>
        <x:v>6830</x:v>
      </x:c>
      <x:c r="I109" s="10" t="n">
        <x:f>'Raw Data'!H109</x:f>
        <x:v>1831</x:v>
      </x:c>
      <x:c r="J109" s="10" t="str">
        <x:f>VLOOKUP(B109,'Lookups &amp; Notes'!$A$4:$B$5,2,FALSE)</x:f>
        <x:v>Retail</x:v>
      </x:c>
      <x:c r="K109" s="10" t="str">
        <x:f>VLOOKUP(C109,'Lookups &amp; Notes'!$A$8:$B$10,2,FALSE)</x:f>
        <x:v>Other</x:v>
      </x:c>
      <x:c r="L109" s="10" t="n">
        <x:f>SUM(D109:I109)</x:f>
        <x:v>27289</x:v>
      </x:c>
      <x:c r="M109" s="39" t="n">
        <x:f>IFERROR(F109/L109,0)</x:f>
        <x:v>0.3922459599105867</x:v>
      </x:c>
      <x:c r="N109" s="38" t="str">
        <x:f>IF(L109&gt;='Lookups &amp; Notes'!$E$4,"High Value","Standard")</x:f>
        <x:v>Standard</x:v>
      </x:c>
    </x:row>
    <x:row r="110">
      <x:c r="A110" s="38" t="str">
        <x:v>CUST-108</x:v>
      </x:c>
      <x:c r="B110" s="38" t="n">
        <x:f>'Raw Data'!A110</x:f>
        <x:v>2</x:v>
      </x:c>
      <x:c r="C110" s="38" t="n">
        <x:f>'Raw Data'!B110</x:f>
        <x:v>3</x:v>
      </x:c>
      <x:c r="D110" s="10" t="n">
        <x:f>'Raw Data'!C110</x:f>
        <x:v>8797</x:v>
      </x:c>
      <x:c r="E110" s="10" t="n">
        <x:f>'Raw Data'!D110</x:f>
        <x:v>10646</x:v>
      </x:c>
      <x:c r="F110" s="10" t="n">
        <x:f>'Raw Data'!E110</x:f>
        <x:v>14886</x:v>
      </x:c>
      <x:c r="G110" s="10" t="n">
        <x:f>'Raw Data'!F110</x:f>
        <x:v>2471</x:v>
      </x:c>
      <x:c r="H110" s="10" t="n">
        <x:f>'Raw Data'!G110</x:f>
        <x:v>8969</x:v>
      </x:c>
      <x:c r="I110" s="10" t="n">
        <x:f>'Raw Data'!H110</x:f>
        <x:v>1438</x:v>
      </x:c>
      <x:c r="J110" s="10" t="str">
        <x:f>VLOOKUP(B110,'Lookups &amp; Notes'!$A$4:$B$5,2,FALSE)</x:f>
        <x:v>Retail</x:v>
      </x:c>
      <x:c r="K110" s="10" t="str">
        <x:f>VLOOKUP(C110,'Lookups &amp; Notes'!$A$8:$B$10,2,FALSE)</x:f>
        <x:v>Other</x:v>
      </x:c>
      <x:c r="L110" s="10" t="n">
        <x:f>SUM(D110:I110)</x:f>
        <x:v>47207</x:v>
      </x:c>
      <x:c r="M110" s="39" t="n">
        <x:f>IFERROR(F110/L110,0)</x:f>
        <x:v>0.31533459020907917</x:v>
      </x:c>
      <x:c r="N110" s="38" t="str">
        <x:f>IF(L110&gt;='Lookups &amp; Notes'!$E$4,"High Value","Standard")</x:f>
        <x:v>High Value</x:v>
      </x:c>
    </x:row>
    <x:row r="111">
      <x:c r="A111" s="38" t="str">
        <x:v>CUST-109</x:v>
      </x:c>
      <x:c r="B111" s="38" t="n">
        <x:f>'Raw Data'!A111</x:f>
        <x:v>2</x:v>
      </x:c>
      <x:c r="C111" s="38" t="n">
        <x:f>'Raw Data'!B111</x:f>
        <x:v>3</x:v>
      </x:c>
      <x:c r="D111" s="10" t="n">
        <x:f>'Raw Data'!C111</x:f>
        <x:v>1531</x:v>
      </x:c>
      <x:c r="E111" s="10" t="n">
        <x:f>'Raw Data'!D111</x:f>
        <x:v>8397</x:v>
      </x:c>
      <x:c r="F111" s="10" t="n">
        <x:f>'Raw Data'!E111</x:f>
        <x:v>6981</x:v>
      </x:c>
      <x:c r="G111" s="10" t="n">
        <x:f>'Raw Data'!F111</x:f>
        <x:v>247</x:v>
      </x:c>
      <x:c r="H111" s="10" t="n">
        <x:f>'Raw Data'!G111</x:f>
        <x:v>2505</x:v>
      </x:c>
      <x:c r="I111" s="10" t="n">
        <x:f>'Raw Data'!H111</x:f>
        <x:v>1236</x:v>
      </x:c>
      <x:c r="J111" s="10" t="str">
        <x:f>VLOOKUP(B111,'Lookups &amp; Notes'!$A$4:$B$5,2,FALSE)</x:f>
        <x:v>Retail</x:v>
      </x:c>
      <x:c r="K111" s="10" t="str">
        <x:f>VLOOKUP(C111,'Lookups &amp; Notes'!$A$8:$B$10,2,FALSE)</x:f>
        <x:v>Other</x:v>
      </x:c>
      <x:c r="L111" s="10" t="n">
        <x:f>SUM(D111:I111)</x:f>
        <x:v>20897</x:v>
      </x:c>
      <x:c r="M111" s="39" t="n">
        <x:f>IFERROR(F111/L111,0)</x:f>
        <x:v>0.3340670909699957</x:v>
      </x:c>
      <x:c r="N111" s="38" t="str">
        <x:f>IF(L111&gt;='Lookups &amp; Notes'!$E$4,"High Value","Standard")</x:f>
        <x:v>Standard</x:v>
      </x:c>
    </x:row>
    <x:row r="112">
      <x:c r="A112" s="38" t="str">
        <x:v>CUST-110</x:v>
      </x:c>
      <x:c r="B112" s="38" t="n">
        <x:f>'Raw Data'!A112</x:f>
        <x:v>2</x:v>
      </x:c>
      <x:c r="C112" s="38" t="n">
        <x:f>'Raw Data'!B112</x:f>
        <x:v>3</x:v>
      </x:c>
      <x:c r="D112" s="10" t="n">
        <x:f>'Raw Data'!C112</x:f>
        <x:v>1406</x:v>
      </x:c>
      <x:c r="E112" s="10" t="n">
        <x:f>'Raw Data'!D112</x:f>
        <x:v>16729</x:v>
      </x:c>
      <x:c r="F112" s="10" t="n">
        <x:f>'Raw Data'!E112</x:f>
        <x:v>28986</x:v>
      </x:c>
      <x:c r="G112" s="10" t="n">
        <x:f>'Raw Data'!F112</x:f>
        <x:v>673</x:v>
      </x:c>
      <x:c r="H112" s="10" t="n">
        <x:f>'Raw Data'!G112</x:f>
        <x:v>836</x:v>
      </x:c>
      <x:c r="I112" s="10" t="n">
        <x:f>'Raw Data'!H112</x:f>
        <x:v>3</x:v>
      </x:c>
      <x:c r="J112" s="10" t="str">
        <x:f>VLOOKUP(B112,'Lookups &amp; Notes'!$A$4:$B$5,2,FALSE)</x:f>
        <x:v>Retail</x:v>
      </x:c>
      <x:c r="K112" s="10" t="str">
        <x:f>VLOOKUP(C112,'Lookups &amp; Notes'!$A$8:$B$10,2,FALSE)</x:f>
        <x:v>Other</x:v>
      </x:c>
      <x:c r="L112" s="10" t="n">
        <x:f>SUM(D112:I112)</x:f>
        <x:v>48633</x:v>
      </x:c>
      <x:c r="M112" s="39" t="n">
        <x:f>IFERROR(F112/L112,0)</x:f>
        <x:v>0.5960150515082352</x:v>
      </x:c>
      <x:c r="N112" s="38" t="str">
        <x:f>IF(L112&gt;='Lookups &amp; Notes'!$E$4,"High Value","Standard")</x:f>
        <x:v>High Value</x:v>
      </x:c>
    </x:row>
    <x:row r="113">
      <x:c r="A113" s="38" t="str">
        <x:v>CUST-111</x:v>
      </x:c>
      <x:c r="B113" s="38" t="n">
        <x:f>'Raw Data'!A113</x:f>
        <x:v>1</x:v>
      </x:c>
      <x:c r="C113" s="38" t="n">
        <x:f>'Raw Data'!B113</x:f>
        <x:v>3</x:v>
      </x:c>
      <x:c r="D113" s="10" t="n">
        <x:f>'Raw Data'!C113</x:f>
        <x:v>11818</x:v>
      </x:c>
      <x:c r="E113" s="10" t="n">
        <x:f>'Raw Data'!D113</x:f>
        <x:v>1648</x:v>
      </x:c>
      <x:c r="F113" s="10" t="n">
        <x:f>'Raw Data'!E113</x:f>
        <x:v>1694</x:v>
      </x:c>
      <x:c r="G113" s="10" t="n">
        <x:f>'Raw Data'!F113</x:f>
        <x:v>2276</x:v>
      </x:c>
      <x:c r="H113" s="10" t="n">
        <x:f>'Raw Data'!G113</x:f>
        <x:v>169</x:v>
      </x:c>
      <x:c r="I113" s="10" t="n">
        <x:f>'Raw Data'!H113</x:f>
        <x:v>1647</x:v>
      </x:c>
      <x:c r="J113" s="10" t="str">
        <x:f>VLOOKUP(B113,'Lookups &amp; Notes'!$A$4:$B$5,2,FALSE)</x:f>
        <x:v>Horeca</x:v>
      </x:c>
      <x:c r="K113" s="10" t="str">
        <x:f>VLOOKUP(C113,'Lookups &amp; Notes'!$A$8:$B$10,2,FALSE)</x:f>
        <x:v>Other</x:v>
      </x:c>
      <x:c r="L113" s="10" t="n">
        <x:f>SUM(D113:I113)</x:f>
        <x:v>19252</x:v>
      </x:c>
      <x:c r="M113" s="39" t="n">
        <x:f>IFERROR(F113/L113,0)</x:f>
        <x:v>0.0879908580926657</x:v>
      </x:c>
      <x:c r="N113" s="38" t="str">
        <x:f>IF(L113&gt;='Lookups &amp; Notes'!$E$4,"High Value","Standard")</x:f>
        <x:v>Standard</x:v>
      </x:c>
    </x:row>
    <x:row r="114">
      <x:c r="A114" s="38" t="str">
        <x:v>CUST-112</x:v>
      </x:c>
      <x:c r="B114" s="38" t="n">
        <x:f>'Raw Data'!A114</x:f>
        <x:v>2</x:v>
      </x:c>
      <x:c r="C114" s="38" t="n">
        <x:f>'Raw Data'!B114</x:f>
        <x:v>3</x:v>
      </x:c>
      <x:c r="D114" s="10" t="n">
        <x:f>'Raw Data'!C114</x:f>
        <x:v>12579</x:v>
      </x:c>
      <x:c r="E114" s="10" t="n">
        <x:f>'Raw Data'!D114</x:f>
        <x:v>11114</x:v>
      </x:c>
      <x:c r="F114" s="10" t="n">
        <x:f>'Raw Data'!E114</x:f>
        <x:v>17569</x:v>
      </x:c>
      <x:c r="G114" s="10" t="n">
        <x:f>'Raw Data'!F114</x:f>
        <x:v>805</x:v>
      </x:c>
      <x:c r="H114" s="10" t="n">
        <x:f>'Raw Data'!G114</x:f>
        <x:v>6457</x:v>
      </x:c>
      <x:c r="I114" s="10" t="n">
        <x:f>'Raw Data'!H114</x:f>
        <x:v>1519</x:v>
      </x:c>
      <x:c r="J114" s="10" t="str">
        <x:f>VLOOKUP(B114,'Lookups &amp; Notes'!$A$4:$B$5,2,FALSE)</x:f>
        <x:v>Retail</x:v>
      </x:c>
      <x:c r="K114" s="10" t="str">
        <x:f>VLOOKUP(C114,'Lookups &amp; Notes'!$A$8:$B$10,2,FALSE)</x:f>
        <x:v>Other</x:v>
      </x:c>
      <x:c r="L114" s="10" t="n">
        <x:f>SUM(D114:I114)</x:f>
        <x:v>50043</x:v>
      </x:c>
      <x:c r="M114" s="39" t="n">
        <x:f>IFERROR(F114/L114,0)</x:f>
        <x:v>0.35107807285734266</x:v>
      </x:c>
      <x:c r="N114" s="38" t="str">
        <x:f>IF(L114&gt;='Lookups &amp; Notes'!$E$4,"High Value","Standard")</x:f>
        <x:v>High Value</x:v>
      </x:c>
    </x:row>
    <x:row r="115">
      <x:c r="A115" s="38" t="str">
        <x:v>CUST-113</x:v>
      </x:c>
      <x:c r="B115" s="38" t="n">
        <x:f>'Raw Data'!A115</x:f>
        <x:v>1</x:v>
      </x:c>
      <x:c r="C115" s="38" t="n">
        <x:f>'Raw Data'!B115</x:f>
        <x:v>3</x:v>
      </x:c>
      <x:c r="D115" s="10" t="n">
        <x:f>'Raw Data'!C115</x:f>
        <x:v>19046</x:v>
      </x:c>
      <x:c r="E115" s="10" t="n">
        <x:f>'Raw Data'!D115</x:f>
        <x:v>2770</x:v>
      </x:c>
      <x:c r="F115" s="10" t="n">
        <x:f>'Raw Data'!E115</x:f>
        <x:v>2469</x:v>
      </x:c>
      <x:c r="G115" s="10" t="n">
        <x:f>'Raw Data'!F115</x:f>
        <x:v>8853</x:v>
      </x:c>
      <x:c r="H115" s="10" t="n">
        <x:f>'Raw Data'!G115</x:f>
        <x:v>483</x:v>
      </x:c>
      <x:c r="I115" s="10" t="n">
        <x:f>'Raw Data'!H115</x:f>
        <x:v>2708</x:v>
      </x:c>
      <x:c r="J115" s="10" t="str">
        <x:f>VLOOKUP(B115,'Lookups &amp; Notes'!$A$4:$B$5,2,FALSE)</x:f>
        <x:v>Horeca</x:v>
      </x:c>
      <x:c r="K115" s="10" t="str">
        <x:f>VLOOKUP(C115,'Lookups &amp; Notes'!$A$8:$B$10,2,FALSE)</x:f>
        <x:v>Other</x:v>
      </x:c>
      <x:c r="L115" s="10" t="n">
        <x:f>SUM(D115:I115)</x:f>
        <x:v>36329</x:v>
      </x:c>
      <x:c r="M115" s="39" t="n">
        <x:f>IFERROR(F115/L115,0)</x:f>
        <x:v>0.06796223402791159</x:v>
      </x:c>
      <x:c r="N115" s="38" t="str">
        <x:f>IF(L115&gt;='Lookups &amp; Notes'!$E$4,"High Value","Standard")</x:f>
        <x:v>High Value</x:v>
      </x:c>
    </x:row>
    <x:row r="116">
      <x:c r="A116" s="38" t="str">
        <x:v>CUST-114</x:v>
      </x:c>
      <x:c r="B116" s="38" t="n">
        <x:f>'Raw Data'!A116</x:f>
        <x:v>1</x:v>
      </x:c>
      <x:c r="C116" s="38" t="n">
        <x:f>'Raw Data'!B116</x:f>
        <x:v>3</x:v>
      </x:c>
      <x:c r="D116" s="10" t="n">
        <x:f>'Raw Data'!C116</x:f>
        <x:v>14438</x:v>
      </x:c>
      <x:c r="E116" s="10" t="n">
        <x:f>'Raw Data'!D116</x:f>
        <x:v>2295</x:v>
      </x:c>
      <x:c r="F116" s="10" t="n">
        <x:f>'Raw Data'!E116</x:f>
        <x:v>1733</x:v>
      </x:c>
      <x:c r="G116" s="10" t="n">
        <x:f>'Raw Data'!F116</x:f>
        <x:v>3220</x:v>
      </x:c>
      <x:c r="H116" s="10" t="n">
        <x:f>'Raw Data'!G116</x:f>
        <x:v>585</x:v>
      </x:c>
      <x:c r="I116" s="10" t="n">
        <x:f>'Raw Data'!H116</x:f>
        <x:v>1561</x:v>
      </x:c>
      <x:c r="J116" s="10" t="str">
        <x:f>VLOOKUP(B116,'Lookups &amp; Notes'!$A$4:$B$5,2,FALSE)</x:f>
        <x:v>Horeca</x:v>
      </x:c>
      <x:c r="K116" s="10" t="str">
        <x:f>VLOOKUP(C116,'Lookups &amp; Notes'!$A$8:$B$10,2,FALSE)</x:f>
        <x:v>Other</x:v>
      </x:c>
      <x:c r="L116" s="10" t="n">
        <x:f>SUM(D116:I116)</x:f>
        <x:v>23832</x:v>
      </x:c>
      <x:c r="M116" s="39" t="n">
        <x:f>IFERROR(F116/L116,0)</x:f>
        <x:v>0.0727173548170527</x:v>
      </x:c>
      <x:c r="N116" s="38" t="str">
        <x:f>IF(L116&gt;='Lookups &amp; Notes'!$E$4,"High Value","Standard")</x:f>
        <x:v>Standard</x:v>
      </x:c>
    </x:row>
    <x:row r="117">
      <x:c r="A117" s="38" t="str">
        <x:v>CUST-115</x:v>
      </x:c>
      <x:c r="B117" s="38" t="n">
        <x:f>'Raw Data'!A117</x:f>
        <x:v>1</x:v>
      </x:c>
      <x:c r="C117" s="38" t="n">
        <x:f>'Raw Data'!B117</x:f>
        <x:v>3</x:v>
      </x:c>
      <x:c r="D117" s="10" t="n">
        <x:f>'Raw Data'!C117</x:f>
        <x:v>18044</x:v>
      </x:c>
      <x:c r="E117" s="10" t="n">
        <x:f>'Raw Data'!D117</x:f>
        <x:v>1080</x:v>
      </x:c>
      <x:c r="F117" s="10" t="n">
        <x:f>'Raw Data'!E117</x:f>
        <x:v>2000</x:v>
      </x:c>
      <x:c r="G117" s="10" t="n">
        <x:f>'Raw Data'!F117</x:f>
        <x:v>2555</x:v>
      </x:c>
      <x:c r="H117" s="10" t="n">
        <x:f>'Raw Data'!G117</x:f>
        <x:v>118</x:v>
      </x:c>
      <x:c r="I117" s="10" t="n">
        <x:f>'Raw Data'!H117</x:f>
        <x:v>1266</x:v>
      </x:c>
      <x:c r="J117" s="10" t="str">
        <x:f>VLOOKUP(B117,'Lookups &amp; Notes'!$A$4:$B$5,2,FALSE)</x:f>
        <x:v>Horeca</x:v>
      </x:c>
      <x:c r="K117" s="10" t="str">
        <x:f>VLOOKUP(C117,'Lookups &amp; Notes'!$A$8:$B$10,2,FALSE)</x:f>
        <x:v>Other</x:v>
      </x:c>
      <x:c r="L117" s="10" t="n">
        <x:f>SUM(D117:I117)</x:f>
        <x:v>25063</x:v>
      </x:c>
      <x:c r="M117" s="39" t="n">
        <x:f>IFERROR(F117/L117,0)</x:f>
        <x:v>0.07979890675497746</x:v>
      </x:c>
      <x:c r="N117" s="38" t="str">
        <x:f>IF(L117&gt;='Lookups &amp; Notes'!$E$4,"High Value","Standard")</x:f>
        <x:v>Standard</x:v>
      </x:c>
    </x:row>
    <x:row r="118">
      <x:c r="A118" s="38" t="str">
        <x:v>CUST-116</x:v>
      </x:c>
      <x:c r="B118" s="38" t="n">
        <x:f>'Raw Data'!A118</x:f>
        <x:v>1</x:v>
      </x:c>
      <x:c r="C118" s="38" t="n">
        <x:f>'Raw Data'!B118</x:f>
        <x:v>3</x:v>
      </x:c>
      <x:c r="D118" s="10" t="n">
        <x:f>'Raw Data'!C118</x:f>
        <x:v>11134</x:v>
      </x:c>
      <x:c r="E118" s="10" t="n">
        <x:f>'Raw Data'!D118</x:f>
        <x:v>793</x:v>
      </x:c>
      <x:c r="F118" s="10" t="n">
        <x:f>'Raw Data'!E118</x:f>
        <x:v>2988</x:v>
      </x:c>
      <x:c r="G118" s="10" t="n">
        <x:f>'Raw Data'!F118</x:f>
        <x:v>2715</x:v>
      </x:c>
      <x:c r="H118" s="10" t="n">
        <x:f>'Raw Data'!G118</x:f>
        <x:v>276</x:v>
      </x:c>
      <x:c r="I118" s="10" t="n">
        <x:f>'Raw Data'!H118</x:f>
        <x:v>610</x:v>
      </x:c>
      <x:c r="J118" s="10" t="str">
        <x:f>VLOOKUP(B118,'Lookups &amp; Notes'!$A$4:$B$5,2,FALSE)</x:f>
        <x:v>Horeca</x:v>
      </x:c>
      <x:c r="K118" s="10" t="str">
        <x:f>VLOOKUP(C118,'Lookups &amp; Notes'!$A$8:$B$10,2,FALSE)</x:f>
        <x:v>Other</x:v>
      </x:c>
      <x:c r="L118" s="10" t="n">
        <x:f>SUM(D118:I118)</x:f>
        <x:v>18516</x:v>
      </x:c>
      <x:c r="M118" s="39" t="n">
        <x:f>IFERROR(F118/L118,0)</x:f>
        <x:v>0.16137394685677253</x:v>
      </x:c>
      <x:c r="N118" s="38" t="str">
        <x:f>IF(L118&gt;='Lookups &amp; Notes'!$E$4,"High Value","Standard")</x:f>
        <x:v>Standard</x:v>
      </x:c>
    </x:row>
    <x:row r="119">
      <x:c r="A119" s="38" t="str">
        <x:v>CUST-117</x:v>
      </x:c>
      <x:c r="B119" s="38" t="n">
        <x:f>'Raw Data'!A119</x:f>
        <x:v>1</x:v>
      </x:c>
      <x:c r="C119" s="38" t="n">
        <x:f>'Raw Data'!B119</x:f>
        <x:v>3</x:v>
      </x:c>
      <x:c r="D119" s="10" t="n">
        <x:f>'Raw Data'!C119</x:f>
        <x:v>11173</x:v>
      </x:c>
      <x:c r="E119" s="10" t="n">
        <x:f>'Raw Data'!D119</x:f>
        <x:v>2521</x:v>
      </x:c>
      <x:c r="F119" s="10" t="n">
        <x:f>'Raw Data'!E119</x:f>
        <x:v>3355</x:v>
      </x:c>
      <x:c r="G119" s="10" t="n">
        <x:f>'Raw Data'!F119</x:f>
        <x:v>1517</x:v>
      </x:c>
      <x:c r="H119" s="10" t="n">
        <x:f>'Raw Data'!G119</x:f>
        <x:v>310</x:v>
      </x:c>
      <x:c r="I119" s="10" t="n">
        <x:f>'Raw Data'!H119</x:f>
        <x:v>222</x:v>
      </x:c>
      <x:c r="J119" s="10" t="str">
        <x:f>VLOOKUP(B119,'Lookups &amp; Notes'!$A$4:$B$5,2,FALSE)</x:f>
        <x:v>Horeca</x:v>
      </x:c>
      <x:c r="K119" s="10" t="str">
        <x:f>VLOOKUP(C119,'Lookups &amp; Notes'!$A$8:$B$10,2,FALSE)</x:f>
        <x:v>Other</x:v>
      </x:c>
      <x:c r="L119" s="10" t="n">
        <x:f>SUM(D119:I119)</x:f>
        <x:v>19098</x:v>
      </x:c>
      <x:c r="M119" s="39" t="n">
        <x:f>IFERROR(F119/L119,0)</x:f>
        <x:v>0.1756728453241177</x:v>
      </x:c>
      <x:c r="N119" s="38" t="str">
        <x:f>IF(L119&gt;='Lookups &amp; Notes'!$E$4,"High Value","Standard")</x:f>
        <x:v>Standard</x:v>
      </x:c>
    </x:row>
    <x:row r="120">
      <x:c r="A120" s="38" t="str">
        <x:v>CUST-118</x:v>
      </x:c>
      <x:c r="B120" s="38" t="n">
        <x:f>'Raw Data'!A120</x:f>
        <x:v>1</x:v>
      </x:c>
      <x:c r="C120" s="38" t="n">
        <x:f>'Raw Data'!B120</x:f>
        <x:v>3</x:v>
      </x:c>
      <x:c r="D120" s="10" t="n">
        <x:f>'Raw Data'!C120</x:f>
        <x:v>6990</x:v>
      </x:c>
      <x:c r="E120" s="10" t="n">
        <x:f>'Raw Data'!D120</x:f>
        <x:v>3880</x:v>
      </x:c>
      <x:c r="F120" s="10" t="n">
        <x:f>'Raw Data'!E120</x:f>
        <x:v>5380</x:v>
      </x:c>
      <x:c r="G120" s="10" t="n">
        <x:f>'Raw Data'!F120</x:f>
        <x:v>1647</x:v>
      </x:c>
      <x:c r="H120" s="10" t="n">
        <x:f>'Raw Data'!G120</x:f>
        <x:v>319</x:v>
      </x:c>
      <x:c r="I120" s="10" t="n">
        <x:f>'Raw Data'!H120</x:f>
        <x:v>1160</x:v>
      </x:c>
      <x:c r="J120" s="10" t="str">
        <x:f>VLOOKUP(B120,'Lookups &amp; Notes'!$A$4:$B$5,2,FALSE)</x:f>
        <x:v>Horeca</x:v>
      </x:c>
      <x:c r="K120" s="10" t="str">
        <x:f>VLOOKUP(C120,'Lookups &amp; Notes'!$A$8:$B$10,2,FALSE)</x:f>
        <x:v>Other</x:v>
      </x:c>
      <x:c r="L120" s="10" t="n">
        <x:f>SUM(D120:I120)</x:f>
        <x:v>19376</x:v>
      </x:c>
      <x:c r="M120" s="39" t="n">
        <x:f>IFERROR(F120/L120,0)</x:f>
        <x:v>0.27766308835673</x:v>
      </x:c>
      <x:c r="N120" s="38" t="str">
        <x:f>IF(L120&gt;='Lookups &amp; Notes'!$E$4,"High Value","Standard")</x:f>
        <x:v>Standard</x:v>
      </x:c>
    </x:row>
    <x:row r="121">
      <x:c r="A121" s="38" t="str">
        <x:v>CUST-119</x:v>
      </x:c>
      <x:c r="B121" s="38" t="n">
        <x:f>'Raw Data'!A121</x:f>
        <x:v>1</x:v>
      </x:c>
      <x:c r="C121" s="38" t="n">
        <x:f>'Raw Data'!B121</x:f>
        <x:v>3</x:v>
      </x:c>
      <x:c r="D121" s="10" t="n">
        <x:f>'Raw Data'!C121</x:f>
        <x:v>20049</x:v>
      </x:c>
      <x:c r="E121" s="10" t="n">
        <x:f>'Raw Data'!D121</x:f>
        <x:v>1891</x:v>
      </x:c>
      <x:c r="F121" s="10" t="n">
        <x:f>'Raw Data'!E121</x:f>
        <x:v>2362</x:v>
      </x:c>
      <x:c r="G121" s="10" t="n">
        <x:f>'Raw Data'!F121</x:f>
        <x:v>5343</x:v>
      </x:c>
      <x:c r="H121" s="10" t="n">
        <x:f>'Raw Data'!G121</x:f>
        <x:v>411</x:v>
      </x:c>
      <x:c r="I121" s="10" t="n">
        <x:f>'Raw Data'!H121</x:f>
        <x:v>933</x:v>
      </x:c>
      <x:c r="J121" s="10" t="str">
        <x:f>VLOOKUP(B121,'Lookups &amp; Notes'!$A$4:$B$5,2,FALSE)</x:f>
        <x:v>Horeca</x:v>
      </x:c>
      <x:c r="K121" s="10" t="str">
        <x:f>VLOOKUP(C121,'Lookups &amp; Notes'!$A$8:$B$10,2,FALSE)</x:f>
        <x:v>Other</x:v>
      </x:c>
      <x:c r="L121" s="10" t="n">
        <x:f>SUM(D121:I121)</x:f>
        <x:v>30989</x:v>
      </x:c>
      <x:c r="M121" s="39" t="n">
        <x:f>IFERROR(F121/L121,0)</x:f>
        <x:v>0.0762205944044661</x:v>
      </x:c>
      <x:c r="N121" s="38" t="str">
        <x:f>IF(L121&gt;='Lookups &amp; Notes'!$E$4,"High Value","Standard")</x:f>
        <x:v>High Value</x:v>
      </x:c>
    </x:row>
    <x:row r="122">
      <x:c r="A122" s="38" t="str">
        <x:v>CUST-120</x:v>
      </x:c>
      <x:c r="B122" s="38" t="n">
        <x:f>'Raw Data'!A122</x:f>
        <x:v>1</x:v>
      </x:c>
      <x:c r="C122" s="38" t="n">
        <x:f>'Raw Data'!B122</x:f>
        <x:v>3</x:v>
      </x:c>
      <x:c r="D122" s="10" t="n">
        <x:f>'Raw Data'!C122</x:f>
        <x:v>8258</x:v>
      </x:c>
      <x:c r="E122" s="10" t="n">
        <x:f>'Raw Data'!D122</x:f>
        <x:v>2344</x:v>
      </x:c>
      <x:c r="F122" s="10" t="n">
        <x:f>'Raw Data'!E122</x:f>
        <x:v>2147</x:v>
      </x:c>
      <x:c r="G122" s="10" t="n">
        <x:f>'Raw Data'!F122</x:f>
        <x:v>3896</x:v>
      </x:c>
      <x:c r="H122" s="10" t="n">
        <x:f>'Raw Data'!G122</x:f>
        <x:v>266</x:v>
      </x:c>
      <x:c r="I122" s="10" t="n">
        <x:f>'Raw Data'!H122</x:f>
        <x:v>635</x:v>
      </x:c>
      <x:c r="J122" s="10" t="str">
        <x:f>VLOOKUP(B122,'Lookups &amp; Notes'!$A$4:$B$5,2,FALSE)</x:f>
        <x:v>Horeca</x:v>
      </x:c>
      <x:c r="K122" s="10" t="str">
        <x:f>VLOOKUP(C122,'Lookups &amp; Notes'!$A$8:$B$10,2,FALSE)</x:f>
        <x:v>Other</x:v>
      </x:c>
      <x:c r="L122" s="10" t="n">
        <x:f>SUM(D122:I122)</x:f>
        <x:v>17546</x:v>
      </x:c>
      <x:c r="M122" s="39" t="n">
        <x:f>IFERROR(F122/L122,0)</x:f>
        <x:v>0.12236407158326684</x:v>
      </x:c>
      <x:c r="N122" s="38" t="str">
        <x:f>IF(L122&gt;='Lookups &amp; Notes'!$E$4,"High Value","Standard")</x:f>
        <x:v>Standard</x:v>
      </x:c>
    </x:row>
    <x:row r="123">
      <x:c r="A123" s="38" t="str">
        <x:v>CUST-121</x:v>
      </x:c>
      <x:c r="B123" s="38" t="n">
        <x:f>'Raw Data'!A123</x:f>
        <x:v>1</x:v>
      </x:c>
      <x:c r="C123" s="38" t="n">
        <x:f>'Raw Data'!B123</x:f>
        <x:v>3</x:v>
      </x:c>
      <x:c r="D123" s="10" t="n">
        <x:f>'Raw Data'!C123</x:f>
        <x:v>17160</x:v>
      </x:c>
      <x:c r="E123" s="10" t="n">
        <x:f>'Raw Data'!D123</x:f>
        <x:v>1200</x:v>
      </x:c>
      <x:c r="F123" s="10" t="n">
        <x:f>'Raw Data'!E123</x:f>
        <x:v>3412</x:v>
      </x:c>
      <x:c r="G123" s="10" t="n">
        <x:f>'Raw Data'!F123</x:f>
        <x:v>2417</x:v>
      </x:c>
      <x:c r="H123" s="10" t="n">
        <x:f>'Raw Data'!G123</x:f>
        <x:v>174</x:v>
      </x:c>
      <x:c r="I123" s="10" t="n">
        <x:f>'Raw Data'!H123</x:f>
        <x:v>1136</x:v>
      </x:c>
      <x:c r="J123" s="10" t="str">
        <x:f>VLOOKUP(B123,'Lookups &amp; Notes'!$A$4:$B$5,2,FALSE)</x:f>
        <x:v>Horeca</x:v>
      </x:c>
      <x:c r="K123" s="10" t="str">
        <x:f>VLOOKUP(C123,'Lookups &amp; Notes'!$A$8:$B$10,2,FALSE)</x:f>
        <x:v>Other</x:v>
      </x:c>
      <x:c r="L123" s="10" t="n">
        <x:f>SUM(D123:I123)</x:f>
        <x:v>25499</x:v>
      </x:c>
      <x:c r="M123" s="39" t="n">
        <x:f>IFERROR(F123/L123,0)</x:f>
        <x:v>0.1338091689870191</x:v>
      </x:c>
      <x:c r="N123" s="38" t="str">
        <x:f>IF(L123&gt;='Lookups &amp; Notes'!$E$4,"High Value","Standard")</x:f>
        <x:v>Standard</x:v>
      </x:c>
    </x:row>
    <x:row r="124">
      <x:c r="A124" s="38" t="str">
        <x:v>CUST-122</x:v>
      </x:c>
      <x:c r="B124" s="38" t="n">
        <x:f>'Raw Data'!A124</x:f>
        <x:v>1</x:v>
      </x:c>
      <x:c r="C124" s="38" t="n">
        <x:f>'Raw Data'!B124</x:f>
        <x:v>3</x:v>
      </x:c>
      <x:c r="D124" s="10" t="n">
        <x:f>'Raw Data'!C124</x:f>
        <x:v>4020</x:v>
      </x:c>
      <x:c r="E124" s="10" t="n">
        <x:f>'Raw Data'!D124</x:f>
        <x:v>3234</x:v>
      </x:c>
      <x:c r="F124" s="10" t="n">
        <x:f>'Raw Data'!E124</x:f>
        <x:v>1498</x:v>
      </x:c>
      <x:c r="G124" s="10" t="n">
        <x:f>'Raw Data'!F124</x:f>
        <x:v>2395</x:v>
      </x:c>
      <x:c r="H124" s="10" t="n">
        <x:f>'Raw Data'!G124</x:f>
        <x:v>264</x:v>
      </x:c>
      <x:c r="I124" s="10" t="n">
        <x:f>'Raw Data'!H124</x:f>
        <x:v>255</x:v>
      </x:c>
      <x:c r="J124" s="10" t="str">
        <x:f>VLOOKUP(B124,'Lookups &amp; Notes'!$A$4:$B$5,2,FALSE)</x:f>
        <x:v>Horeca</x:v>
      </x:c>
      <x:c r="K124" s="10" t="str">
        <x:f>VLOOKUP(C124,'Lookups &amp; Notes'!$A$8:$B$10,2,FALSE)</x:f>
        <x:v>Other</x:v>
      </x:c>
      <x:c r="L124" s="10" t="n">
        <x:f>SUM(D124:I124)</x:f>
        <x:v>11666</x:v>
      </x:c>
      <x:c r="M124" s="39" t="n">
        <x:f>IFERROR(F124/L124,0)</x:f>
        <x:v>0.1284073375621464</x:v>
      </x:c>
      <x:c r="N124" s="38" t="str">
        <x:f>IF(L124&gt;='Lookups &amp; Notes'!$E$4,"High Value","Standard")</x:f>
        <x:v>Standard</x:v>
      </x:c>
    </x:row>
    <x:row r="125">
      <x:c r="A125" s="38" t="str">
        <x:v>CUST-123</x:v>
      </x:c>
      <x:c r="B125" s="38" t="n">
        <x:f>'Raw Data'!A125</x:f>
        <x:v>1</x:v>
      </x:c>
      <x:c r="C125" s="38" t="n">
        <x:f>'Raw Data'!B125</x:f>
        <x:v>3</x:v>
      </x:c>
      <x:c r="D125" s="10" t="n">
        <x:f>'Raw Data'!C125</x:f>
        <x:v>12212</x:v>
      </x:c>
      <x:c r="E125" s="10" t="n">
        <x:f>'Raw Data'!D125</x:f>
        <x:v>201</x:v>
      </x:c>
      <x:c r="F125" s="10" t="n">
        <x:f>'Raw Data'!E125</x:f>
        <x:v>245</x:v>
      </x:c>
      <x:c r="G125" s="10" t="n">
        <x:f>'Raw Data'!F125</x:f>
        <x:v>1991</x:v>
      </x:c>
      <x:c r="H125" s="10" t="n">
        <x:f>'Raw Data'!G125</x:f>
        <x:v>25</x:v>
      </x:c>
      <x:c r="I125" s="10" t="n">
        <x:f>'Raw Data'!H125</x:f>
        <x:v>860</x:v>
      </x:c>
      <x:c r="J125" s="10" t="str">
        <x:f>VLOOKUP(B125,'Lookups &amp; Notes'!$A$4:$B$5,2,FALSE)</x:f>
        <x:v>Horeca</x:v>
      </x:c>
      <x:c r="K125" s="10" t="str">
        <x:f>VLOOKUP(C125,'Lookups &amp; Notes'!$A$8:$B$10,2,FALSE)</x:f>
        <x:v>Other</x:v>
      </x:c>
      <x:c r="L125" s="10" t="n">
        <x:f>SUM(D125:I125)</x:f>
        <x:v>15534</x:v>
      </x:c>
      <x:c r="M125" s="39" t="n">
        <x:f>IFERROR(F125/L125,0)</x:f>
        <x:v>0.015771855285180894</x:v>
      </x:c>
      <x:c r="N125" s="38" t="str">
        <x:f>IF(L125&gt;='Lookups &amp; Notes'!$E$4,"High Value","Standard")</x:f>
        <x:v>Standard</x:v>
      </x:c>
    </x:row>
    <x:row r="126">
      <x:c r="A126" s="38" t="str">
        <x:v>CUST-124</x:v>
      </x:c>
      <x:c r="B126" s="38" t="n">
        <x:f>'Raw Data'!A126</x:f>
        <x:v>2</x:v>
      </x:c>
      <x:c r="C126" s="38" t="n">
        <x:f>'Raw Data'!B126</x:f>
        <x:v>3</x:v>
      </x:c>
      <x:c r="D126" s="10" t="n">
        <x:f>'Raw Data'!C126</x:f>
        <x:v>11170</x:v>
      </x:c>
      <x:c r="E126" s="10" t="n">
        <x:f>'Raw Data'!D126</x:f>
        <x:v>10769</x:v>
      </x:c>
      <x:c r="F126" s="10" t="n">
        <x:f>'Raw Data'!E126</x:f>
        <x:v>8814</x:v>
      </x:c>
      <x:c r="G126" s="10" t="n">
        <x:f>'Raw Data'!F126</x:f>
        <x:v>2194</x:v>
      </x:c>
      <x:c r="H126" s="10" t="n">
        <x:f>'Raw Data'!G126</x:f>
        <x:v>1976</x:v>
      </x:c>
      <x:c r="I126" s="10" t="n">
        <x:f>'Raw Data'!H126</x:f>
        <x:v>143</x:v>
      </x:c>
      <x:c r="J126" s="10" t="str">
        <x:f>VLOOKUP(B126,'Lookups &amp; Notes'!$A$4:$B$5,2,FALSE)</x:f>
        <x:v>Retail</x:v>
      </x:c>
      <x:c r="K126" s="10" t="str">
        <x:f>VLOOKUP(C126,'Lookups &amp; Notes'!$A$8:$B$10,2,FALSE)</x:f>
        <x:v>Other</x:v>
      </x:c>
      <x:c r="L126" s="10" t="n">
        <x:f>SUM(D126:I126)</x:f>
        <x:v>35066</x:v>
      </x:c>
      <x:c r="M126" s="39" t="n">
        <x:f>IFERROR(F126/L126,0)</x:f>
        <x:v>0.2513545884902755</x:v>
      </x:c>
      <x:c r="N126" s="38" t="str">
        <x:f>IF(L126&gt;='Lookups &amp; Notes'!$E$4,"High Value","Standard")</x:f>
        <x:v>High Value</x:v>
      </x:c>
    </x:row>
    <x:row r="127">
      <x:c r="A127" s="38" t="str">
        <x:v>CUST-125</x:v>
      </x:c>
      <x:c r="B127" s="38" t="n">
        <x:f>'Raw Data'!A127</x:f>
        <x:v>1</x:v>
      </x:c>
      <x:c r="C127" s="38" t="n">
        <x:f>'Raw Data'!B127</x:f>
        <x:v>3</x:v>
      </x:c>
      <x:c r="D127" s="10" t="n">
        <x:f>'Raw Data'!C127</x:f>
        <x:v>36050</x:v>
      </x:c>
      <x:c r="E127" s="10" t="n">
        <x:f>'Raw Data'!D127</x:f>
        <x:v>1642</x:v>
      </x:c>
      <x:c r="F127" s="10" t="n">
        <x:f>'Raw Data'!E127</x:f>
        <x:v>2961</x:v>
      </x:c>
      <x:c r="G127" s="10" t="n">
        <x:f>'Raw Data'!F127</x:f>
        <x:v>4787</x:v>
      </x:c>
      <x:c r="H127" s="10" t="n">
        <x:f>'Raw Data'!G127</x:f>
        <x:v>500</x:v>
      </x:c>
      <x:c r="I127" s="10" t="n">
        <x:f>'Raw Data'!H127</x:f>
        <x:v>1621</x:v>
      </x:c>
      <x:c r="J127" s="10" t="str">
        <x:f>VLOOKUP(B127,'Lookups &amp; Notes'!$A$4:$B$5,2,FALSE)</x:f>
        <x:v>Horeca</x:v>
      </x:c>
      <x:c r="K127" s="10" t="str">
        <x:f>VLOOKUP(C127,'Lookups &amp; Notes'!$A$8:$B$10,2,FALSE)</x:f>
        <x:v>Other</x:v>
      </x:c>
      <x:c r="L127" s="10" t="n">
        <x:f>SUM(D127:I127)</x:f>
        <x:v>47561</x:v>
      </x:c>
      <x:c r="M127" s="39" t="n">
        <x:f>IFERROR(F127/L127,0)</x:f>
        <x:v>0.06225689115031223</x:v>
      </x:c>
      <x:c r="N127" s="38" t="str">
        <x:f>IF(L127&gt;='Lookups &amp; Notes'!$E$4,"High Value","Standard")</x:f>
        <x:v>High Value</x:v>
      </x:c>
    </x:row>
    <x:row r="128">
      <x:c r="A128" s="38" t="str">
        <x:v>CUST-126</x:v>
      </x:c>
      <x:c r="B128" s="38" t="n">
        <x:f>'Raw Data'!A128</x:f>
        <x:v>1</x:v>
      </x:c>
      <x:c r="C128" s="38" t="n">
        <x:f>'Raw Data'!B128</x:f>
        <x:v>3</x:v>
      </x:c>
      <x:c r="D128" s="10" t="n">
        <x:f>'Raw Data'!C128</x:f>
        <x:v>76237</x:v>
      </x:c>
      <x:c r="E128" s="10" t="n">
        <x:f>'Raw Data'!D128</x:f>
        <x:v>3473</x:v>
      </x:c>
      <x:c r="F128" s="10" t="n">
        <x:f>'Raw Data'!E128</x:f>
        <x:v>7102</x:v>
      </x:c>
      <x:c r="G128" s="10" t="n">
        <x:f>'Raw Data'!F128</x:f>
        <x:v>16538</x:v>
      </x:c>
      <x:c r="H128" s="10" t="n">
        <x:f>'Raw Data'!G128</x:f>
        <x:v>778</x:v>
      </x:c>
      <x:c r="I128" s="10" t="n">
        <x:f>'Raw Data'!H128</x:f>
        <x:v>918</x:v>
      </x:c>
      <x:c r="J128" s="10" t="str">
        <x:f>VLOOKUP(B128,'Lookups &amp; Notes'!$A$4:$B$5,2,FALSE)</x:f>
        <x:v>Horeca</x:v>
      </x:c>
      <x:c r="K128" s="10" t="str">
        <x:f>VLOOKUP(C128,'Lookups &amp; Notes'!$A$8:$B$10,2,FALSE)</x:f>
        <x:v>Other</x:v>
      </x:c>
      <x:c r="L128" s="10" t="n">
        <x:f>SUM(D128:I128)</x:f>
        <x:v>105046</x:v>
      </x:c>
      <x:c r="M128" s="39" t="n">
        <x:f>IFERROR(F128/L128,0)</x:f>
        <x:v>0.06760847628657922</x:v>
      </x:c>
      <x:c r="N128" s="38" t="str">
        <x:f>IF(L128&gt;='Lookups &amp; Notes'!$E$4,"High Value","Standard")</x:f>
        <x:v>High Value</x:v>
      </x:c>
    </x:row>
    <x:row r="129">
      <x:c r="A129" s="38" t="str">
        <x:v>CUST-127</x:v>
      </x:c>
      <x:c r="B129" s="38" t="n">
        <x:f>'Raw Data'!A129</x:f>
        <x:v>1</x:v>
      </x:c>
      <x:c r="C129" s="38" t="n">
        <x:f>'Raw Data'!B129</x:f>
        <x:v>3</x:v>
      </x:c>
      <x:c r="D129" s="10" t="n">
        <x:f>'Raw Data'!C129</x:f>
        <x:v>19219</x:v>
      </x:c>
      <x:c r="E129" s="10" t="n">
        <x:f>'Raw Data'!D129</x:f>
        <x:v>1840</x:v>
      </x:c>
      <x:c r="F129" s="10" t="n">
        <x:f>'Raw Data'!E129</x:f>
        <x:v>1658</x:v>
      </x:c>
      <x:c r="G129" s="10" t="n">
        <x:f>'Raw Data'!F129</x:f>
        <x:v>8195</x:v>
      </x:c>
      <x:c r="H129" s="10" t="n">
        <x:f>'Raw Data'!G129</x:f>
        <x:v>349</x:v>
      </x:c>
      <x:c r="I129" s="10" t="n">
        <x:f>'Raw Data'!H129</x:f>
        <x:v>483</x:v>
      </x:c>
      <x:c r="J129" s="10" t="str">
        <x:f>VLOOKUP(B129,'Lookups &amp; Notes'!$A$4:$B$5,2,FALSE)</x:f>
        <x:v>Horeca</x:v>
      </x:c>
      <x:c r="K129" s="10" t="str">
        <x:f>VLOOKUP(C129,'Lookups &amp; Notes'!$A$8:$B$10,2,FALSE)</x:f>
        <x:v>Other</x:v>
      </x:c>
      <x:c r="L129" s="10" t="n">
        <x:f>SUM(D129:I129)</x:f>
        <x:v>31744</x:v>
      </x:c>
      <x:c r="M129" s="39" t="n">
        <x:f>IFERROR(F129/L129,0)</x:f>
        <x:v>0.052230342741935484</x:v>
      </x:c>
      <x:c r="N129" s="38" t="str">
        <x:f>IF(L129&gt;='Lookups &amp; Notes'!$E$4,"High Value","Standard")</x:f>
        <x:v>High Value</x:v>
      </x:c>
    </x:row>
    <x:row r="130">
      <x:c r="A130" s="38" t="str">
        <x:v>CUST-128</x:v>
      </x:c>
      <x:c r="B130" s="38" t="n">
        <x:f>'Raw Data'!A130</x:f>
        <x:v>2</x:v>
      </x:c>
      <x:c r="C130" s="38" t="n">
        <x:f>'Raw Data'!B130</x:f>
        <x:v>3</x:v>
      </x:c>
      <x:c r="D130" s="10" t="n">
        <x:f>'Raw Data'!C130</x:f>
        <x:v>21465</x:v>
      </x:c>
      <x:c r="E130" s="10" t="n">
        <x:f>'Raw Data'!D130</x:f>
        <x:v>7243</x:v>
      </x:c>
      <x:c r="F130" s="10" t="n">
        <x:f>'Raw Data'!E130</x:f>
        <x:v>10685</x:v>
      </x:c>
      <x:c r="G130" s="10" t="n">
        <x:f>'Raw Data'!F130</x:f>
        <x:v>880</x:v>
      </x:c>
      <x:c r="H130" s="10" t="n">
        <x:f>'Raw Data'!G130</x:f>
        <x:v>2386</x:v>
      </x:c>
      <x:c r="I130" s="10" t="n">
        <x:f>'Raw Data'!H130</x:f>
        <x:v>2749</x:v>
      </x:c>
      <x:c r="J130" s="10" t="str">
        <x:f>VLOOKUP(B130,'Lookups &amp; Notes'!$A$4:$B$5,2,FALSE)</x:f>
        <x:v>Retail</x:v>
      </x:c>
      <x:c r="K130" s="10" t="str">
        <x:f>VLOOKUP(C130,'Lookups &amp; Notes'!$A$8:$B$10,2,FALSE)</x:f>
        <x:v>Other</x:v>
      </x:c>
      <x:c r="L130" s="10" t="n">
        <x:f>SUM(D130:I130)</x:f>
        <x:v>45408</x:v>
      </x:c>
      <x:c r="M130" s="39" t="n">
        <x:f>IFERROR(F130/L130,0)</x:f>
        <x:v>0.23531095842142355</x:v>
      </x:c>
      <x:c r="N130" s="38" t="str">
        <x:f>IF(L130&gt;='Lookups &amp; Notes'!$E$4,"High Value","Standard")</x:f>
        <x:v>High Value</x:v>
      </x:c>
    </x:row>
    <x:row r="131">
      <x:c r="A131" s="38" t="str">
        <x:v>CUST-129</x:v>
      </x:c>
      <x:c r="B131" s="38" t="n">
        <x:f>'Raw Data'!A131</x:f>
        <x:v>1</x:v>
      </x:c>
      <x:c r="C131" s="38" t="n">
        <x:f>'Raw Data'!B131</x:f>
        <x:v>3</x:v>
      </x:c>
      <x:c r="D131" s="10" t="n">
        <x:f>'Raw Data'!C131</x:f>
        <x:v>140</x:v>
      </x:c>
      <x:c r="E131" s="10" t="n">
        <x:f>'Raw Data'!D131</x:f>
        <x:v>8847</x:v>
      </x:c>
      <x:c r="F131" s="10" t="n">
        <x:f>'Raw Data'!E131</x:f>
        <x:v>3823</x:v>
      </x:c>
      <x:c r="G131" s="10" t="n">
        <x:f>'Raw Data'!F131</x:f>
        <x:v>142</x:v>
      </x:c>
      <x:c r="H131" s="10" t="n">
        <x:f>'Raw Data'!G131</x:f>
        <x:v>1062</x:v>
      </x:c>
      <x:c r="I131" s="10" t="n">
        <x:f>'Raw Data'!H131</x:f>
        <x:v>3</x:v>
      </x:c>
      <x:c r="J131" s="10" t="str">
        <x:f>VLOOKUP(B131,'Lookups &amp; Notes'!$A$4:$B$5,2,FALSE)</x:f>
        <x:v>Horeca</x:v>
      </x:c>
      <x:c r="K131" s="10" t="str">
        <x:f>VLOOKUP(C131,'Lookups &amp; Notes'!$A$8:$B$10,2,FALSE)</x:f>
        <x:v>Other</x:v>
      </x:c>
      <x:c r="L131" s="10" t="n">
        <x:f>SUM(D131:I131)</x:f>
        <x:v>14017</x:v>
      </x:c>
      <x:c r="M131" s="39" t="n">
        <x:f>IFERROR(F131/L131,0)</x:f>
        <x:v>0.2727402439894414</x:v>
      </x:c>
      <x:c r="N131" s="38" t="str">
        <x:f>IF(L131&gt;='Lookups &amp; Notes'!$E$4,"High Value","Standard")</x:f>
        <x:v>Standard</x:v>
      </x:c>
    </x:row>
    <x:row r="132">
      <x:c r="A132" s="38" t="str">
        <x:v>CUST-130</x:v>
      </x:c>
      <x:c r="B132" s="38" t="n">
        <x:f>'Raw Data'!A132</x:f>
        <x:v>1</x:v>
      </x:c>
      <x:c r="C132" s="38" t="n">
        <x:f>'Raw Data'!B132</x:f>
        <x:v>3</x:v>
      </x:c>
      <x:c r="D132" s="10" t="n">
        <x:f>'Raw Data'!C132</x:f>
        <x:v>42312</x:v>
      </x:c>
      <x:c r="E132" s="10" t="n">
        <x:f>'Raw Data'!D132</x:f>
        <x:v>926</x:v>
      </x:c>
      <x:c r="F132" s="10" t="n">
        <x:f>'Raw Data'!E132</x:f>
        <x:v>1510</x:v>
      </x:c>
      <x:c r="G132" s="10" t="n">
        <x:f>'Raw Data'!F132</x:f>
        <x:v>1718</x:v>
      </x:c>
      <x:c r="H132" s="10" t="n">
        <x:f>'Raw Data'!G132</x:f>
        <x:v>410</x:v>
      </x:c>
      <x:c r="I132" s="10" t="n">
        <x:f>'Raw Data'!H132</x:f>
        <x:v>1819</x:v>
      </x:c>
      <x:c r="J132" s="10" t="str">
        <x:f>VLOOKUP(B132,'Lookups &amp; Notes'!$A$4:$B$5,2,FALSE)</x:f>
        <x:v>Horeca</x:v>
      </x:c>
      <x:c r="K132" s="10" t="str">
        <x:f>VLOOKUP(C132,'Lookups &amp; Notes'!$A$8:$B$10,2,FALSE)</x:f>
        <x:v>Other</x:v>
      </x:c>
      <x:c r="L132" s="10" t="n">
        <x:f>SUM(D132:I132)</x:f>
        <x:v>48695</x:v>
      </x:c>
      <x:c r="M132" s="39" t="n">
        <x:f>IFERROR(F132/L132,0)</x:f>
        <x:v>0.031009343875141183</x:v>
      </x:c>
      <x:c r="N132" s="38" t="str">
        <x:f>IF(L132&gt;='Lookups &amp; Notes'!$E$4,"High Value","Standard")</x:f>
        <x:v>High Value</x:v>
      </x:c>
    </x:row>
    <x:row r="133">
      <x:c r="A133" s="38" t="str">
        <x:v>CUST-131</x:v>
      </x:c>
      <x:c r="B133" s="38" t="n">
        <x:f>'Raw Data'!A133</x:f>
        <x:v>1</x:v>
      </x:c>
      <x:c r="C133" s="38" t="n">
        <x:f>'Raw Data'!B133</x:f>
        <x:v>3</x:v>
      </x:c>
      <x:c r="D133" s="10" t="n">
        <x:f>'Raw Data'!C133</x:f>
        <x:v>7149</x:v>
      </x:c>
      <x:c r="E133" s="10" t="n">
        <x:f>'Raw Data'!D133</x:f>
        <x:v>2428</x:v>
      </x:c>
      <x:c r="F133" s="10" t="n">
        <x:f>'Raw Data'!E133</x:f>
        <x:v>699</x:v>
      </x:c>
      <x:c r="G133" s="10" t="n">
        <x:f>'Raw Data'!F133</x:f>
        <x:v>6316</x:v>
      </x:c>
      <x:c r="H133" s="10" t="n">
        <x:f>'Raw Data'!G133</x:f>
        <x:v>395</x:v>
      </x:c>
      <x:c r="I133" s="10" t="n">
        <x:f>'Raw Data'!H133</x:f>
        <x:v>911</x:v>
      </x:c>
      <x:c r="J133" s="10" t="str">
        <x:f>VLOOKUP(B133,'Lookups &amp; Notes'!$A$4:$B$5,2,FALSE)</x:f>
        <x:v>Horeca</x:v>
      </x:c>
      <x:c r="K133" s="10" t="str">
        <x:f>VLOOKUP(C133,'Lookups &amp; Notes'!$A$8:$B$10,2,FALSE)</x:f>
        <x:v>Other</x:v>
      </x:c>
      <x:c r="L133" s="10" t="n">
        <x:f>SUM(D133:I133)</x:f>
        <x:v>17898</x:v>
      </x:c>
      <x:c r="M133" s="39" t="n">
        <x:f>IFERROR(F133/L133,0)</x:f>
        <x:v>0.03905464297686893</x:v>
      </x:c>
      <x:c r="N133" s="38" t="str">
        <x:f>IF(L133&gt;='Lookups &amp; Notes'!$E$4,"High Value","Standard")</x:f>
        <x:v>Standard</x:v>
      </x:c>
    </x:row>
    <x:row r="134">
      <x:c r="A134" s="38" t="str">
        <x:v>CUST-132</x:v>
      </x:c>
      <x:c r="B134" s="38" t="n">
        <x:f>'Raw Data'!A134</x:f>
        <x:v>1</x:v>
      </x:c>
      <x:c r="C134" s="38" t="n">
        <x:f>'Raw Data'!B134</x:f>
        <x:v>3</x:v>
      </x:c>
      <x:c r="D134" s="10" t="n">
        <x:f>'Raw Data'!C134</x:f>
        <x:v>2101</x:v>
      </x:c>
      <x:c r="E134" s="10" t="n">
        <x:f>'Raw Data'!D134</x:f>
        <x:v>589</x:v>
      </x:c>
      <x:c r="F134" s="10" t="n">
        <x:f>'Raw Data'!E134</x:f>
        <x:v>314</x:v>
      </x:c>
      <x:c r="G134" s="10" t="n">
        <x:f>'Raw Data'!F134</x:f>
        <x:v>346</x:v>
      </x:c>
      <x:c r="H134" s="10" t="n">
        <x:f>'Raw Data'!G134</x:f>
        <x:v>70</x:v>
      </x:c>
      <x:c r="I134" s="10" t="n">
        <x:f>'Raw Data'!H134</x:f>
        <x:v>310</x:v>
      </x:c>
      <x:c r="J134" s="10" t="str">
        <x:f>VLOOKUP(B134,'Lookups &amp; Notes'!$A$4:$B$5,2,FALSE)</x:f>
        <x:v>Horeca</x:v>
      </x:c>
      <x:c r="K134" s="10" t="str">
        <x:f>VLOOKUP(C134,'Lookups &amp; Notes'!$A$8:$B$10,2,FALSE)</x:f>
        <x:v>Other</x:v>
      </x:c>
      <x:c r="L134" s="10" t="n">
        <x:f>SUM(D134:I134)</x:f>
        <x:v>3730</x:v>
      </x:c>
      <x:c r="M134" s="39" t="n">
        <x:f>IFERROR(F134/L134,0)</x:f>
        <x:v>0.08418230563002681</x:v>
      </x:c>
      <x:c r="N134" s="38" t="str">
        <x:f>IF(L134&gt;='Lookups &amp; Notes'!$E$4,"High Value","Standard")</x:f>
        <x:v>Standard</x:v>
      </x:c>
    </x:row>
    <x:row r="135">
      <x:c r="A135" s="38" t="str">
        <x:v>CUST-133</x:v>
      </x:c>
      <x:c r="B135" s="38" t="n">
        <x:f>'Raw Data'!A135</x:f>
        <x:v>1</x:v>
      </x:c>
      <x:c r="C135" s="38" t="n">
        <x:f>'Raw Data'!B135</x:f>
        <x:v>3</x:v>
      </x:c>
      <x:c r="D135" s="10" t="n">
        <x:f>'Raw Data'!C135</x:f>
        <x:v>14903</x:v>
      </x:c>
      <x:c r="E135" s="10" t="n">
        <x:f>'Raw Data'!D135</x:f>
        <x:v>2032</x:v>
      </x:c>
      <x:c r="F135" s="10" t="n">
        <x:f>'Raw Data'!E135</x:f>
        <x:v>2479</x:v>
      </x:c>
      <x:c r="G135" s="10" t="n">
        <x:f>'Raw Data'!F135</x:f>
        <x:v>576</x:v>
      </x:c>
      <x:c r="H135" s="10" t="n">
        <x:f>'Raw Data'!G135</x:f>
        <x:v>955</x:v>
      </x:c>
      <x:c r="I135" s="10" t="n">
        <x:f>'Raw Data'!H135</x:f>
        <x:v>328</x:v>
      </x:c>
      <x:c r="J135" s="10" t="str">
        <x:f>VLOOKUP(B135,'Lookups &amp; Notes'!$A$4:$B$5,2,FALSE)</x:f>
        <x:v>Horeca</x:v>
      </x:c>
      <x:c r="K135" s="10" t="str">
        <x:f>VLOOKUP(C135,'Lookups &amp; Notes'!$A$8:$B$10,2,FALSE)</x:f>
        <x:v>Other</x:v>
      </x:c>
      <x:c r="L135" s="10" t="n">
        <x:f>SUM(D135:I135)</x:f>
        <x:v>21273</x:v>
      </x:c>
      <x:c r="M135" s="39" t="n">
        <x:f>IFERROR(F135/L135,0)</x:f>
        <x:v>0.11653269402529028</x:v>
      </x:c>
      <x:c r="N135" s="38" t="str">
        <x:f>IF(L135&gt;='Lookups &amp; Notes'!$E$4,"High Value","Standard")</x:f>
        <x:v>Standard</x:v>
      </x:c>
    </x:row>
    <x:row r="136">
      <x:c r="A136" s="38" t="str">
        <x:v>CUST-134</x:v>
      </x:c>
      <x:c r="B136" s="38" t="n">
        <x:f>'Raw Data'!A136</x:f>
        <x:v>1</x:v>
      </x:c>
      <x:c r="C136" s="38" t="n">
        <x:f>'Raw Data'!B136</x:f>
        <x:v>3</x:v>
      </x:c>
      <x:c r="D136" s="10" t="n">
        <x:f>'Raw Data'!C136</x:f>
        <x:v>9434</x:v>
      </x:c>
      <x:c r="E136" s="10" t="n">
        <x:f>'Raw Data'!D136</x:f>
        <x:v>1042</x:v>
      </x:c>
      <x:c r="F136" s="10" t="n">
        <x:f>'Raw Data'!E136</x:f>
        <x:v>1235</x:v>
      </x:c>
      <x:c r="G136" s="10" t="n">
        <x:f>'Raw Data'!F136</x:f>
        <x:v>436</x:v>
      </x:c>
      <x:c r="H136" s="10" t="n">
        <x:f>'Raw Data'!G136</x:f>
        <x:v>256</x:v>
      </x:c>
      <x:c r="I136" s="10" t="n">
        <x:f>'Raw Data'!H136</x:f>
        <x:v>396</x:v>
      </x:c>
      <x:c r="J136" s="10" t="str">
        <x:f>VLOOKUP(B136,'Lookups &amp; Notes'!$A$4:$B$5,2,FALSE)</x:f>
        <x:v>Horeca</x:v>
      </x:c>
      <x:c r="K136" s="10" t="str">
        <x:f>VLOOKUP(C136,'Lookups &amp; Notes'!$A$8:$B$10,2,FALSE)</x:f>
        <x:v>Other</x:v>
      </x:c>
      <x:c r="L136" s="10" t="n">
        <x:f>SUM(D136:I136)</x:f>
        <x:v>12799</x:v>
      </x:c>
      <x:c r="M136" s="39" t="n">
        <x:f>IFERROR(F136/L136,0)</x:f>
        <x:v>0.09649191343073678</x:v>
      </x:c>
      <x:c r="N136" s="38" t="str">
        <x:f>IF(L136&gt;='Lookups &amp; Notes'!$E$4,"High Value","Standard")</x:f>
        <x:v>Standard</x:v>
      </x:c>
    </x:row>
    <x:row r="137">
      <x:c r="A137" s="38" t="str">
        <x:v>CUST-135</x:v>
      </x:c>
      <x:c r="B137" s="38" t="n">
        <x:f>'Raw Data'!A137</x:f>
        <x:v>1</x:v>
      </x:c>
      <x:c r="C137" s="38" t="n">
        <x:f>'Raw Data'!B137</x:f>
        <x:v>3</x:v>
      </x:c>
      <x:c r="D137" s="10" t="n">
        <x:f>'Raw Data'!C137</x:f>
        <x:v>7388</x:v>
      </x:c>
      <x:c r="E137" s="10" t="n">
        <x:f>'Raw Data'!D137</x:f>
        <x:v>1882</x:v>
      </x:c>
      <x:c r="F137" s="10" t="n">
        <x:f>'Raw Data'!E137</x:f>
        <x:v>2174</x:v>
      </x:c>
      <x:c r="G137" s="10" t="n">
        <x:f>'Raw Data'!F137</x:f>
        <x:v>720</x:v>
      </x:c>
      <x:c r="H137" s="10" t="n">
        <x:f>'Raw Data'!G137</x:f>
        <x:v>47</x:v>
      </x:c>
      <x:c r="I137" s="10" t="n">
        <x:f>'Raw Data'!H137</x:f>
        <x:v>537</x:v>
      </x:c>
      <x:c r="J137" s="10" t="str">
        <x:f>VLOOKUP(B137,'Lookups &amp; Notes'!$A$4:$B$5,2,FALSE)</x:f>
        <x:v>Horeca</x:v>
      </x:c>
      <x:c r="K137" s="10" t="str">
        <x:f>VLOOKUP(C137,'Lookups &amp; Notes'!$A$8:$B$10,2,FALSE)</x:f>
        <x:v>Other</x:v>
      </x:c>
      <x:c r="L137" s="10" t="n">
        <x:f>SUM(D137:I137)</x:f>
        <x:v>12748</x:v>
      </x:c>
      <x:c r="M137" s="39" t="n">
        <x:f>IFERROR(F137/L137,0)</x:f>
        <x:v>0.17053655475368684</x:v>
      </x:c>
      <x:c r="N137" s="38" t="str">
        <x:f>IF(L137&gt;='Lookups &amp; Notes'!$E$4,"High Value","Standard")</x:f>
        <x:v>Standard</x:v>
      </x:c>
    </x:row>
    <x:row r="138">
      <x:c r="A138" s="38" t="str">
        <x:v>CUST-136</x:v>
      </x:c>
      <x:c r="B138" s="38" t="n">
        <x:f>'Raw Data'!A138</x:f>
        <x:v>1</x:v>
      </x:c>
      <x:c r="C138" s="38" t="n">
        <x:f>'Raw Data'!B138</x:f>
        <x:v>3</x:v>
      </x:c>
      <x:c r="D138" s="10" t="n">
        <x:f>'Raw Data'!C138</x:f>
        <x:v>6300</x:v>
      </x:c>
      <x:c r="E138" s="10" t="n">
        <x:f>'Raw Data'!D138</x:f>
        <x:v>1289</x:v>
      </x:c>
      <x:c r="F138" s="10" t="n">
        <x:f>'Raw Data'!E138</x:f>
        <x:v>2591</x:v>
      </x:c>
      <x:c r="G138" s="10" t="n">
        <x:f>'Raw Data'!F138</x:f>
        <x:v>1170</x:v>
      </x:c>
      <x:c r="H138" s="10" t="n">
        <x:f>'Raw Data'!G138</x:f>
        <x:v>199</x:v>
      </x:c>
      <x:c r="I138" s="10" t="n">
        <x:f>'Raw Data'!H138</x:f>
        <x:v>326</x:v>
      </x:c>
      <x:c r="J138" s="10" t="str">
        <x:f>VLOOKUP(B138,'Lookups &amp; Notes'!$A$4:$B$5,2,FALSE)</x:f>
        <x:v>Horeca</x:v>
      </x:c>
      <x:c r="K138" s="10" t="str">
        <x:f>VLOOKUP(C138,'Lookups &amp; Notes'!$A$8:$B$10,2,FALSE)</x:f>
        <x:v>Other</x:v>
      </x:c>
      <x:c r="L138" s="10" t="n">
        <x:f>SUM(D138:I138)</x:f>
        <x:v>11875</x:v>
      </x:c>
      <x:c r="M138" s="39" t="n">
        <x:f>IFERROR(F138/L138,0)</x:f>
        <x:v>0.21818947368421052</x:v>
      </x:c>
      <x:c r="N138" s="38" t="str">
        <x:f>IF(L138&gt;='Lookups &amp; Notes'!$E$4,"High Value","Standard")</x:f>
        <x:v>Standard</x:v>
      </x:c>
    </x:row>
    <x:row r="139">
      <x:c r="A139" s="38" t="str">
        <x:v>CUST-137</x:v>
      </x:c>
      <x:c r="B139" s="38" t="n">
        <x:f>'Raw Data'!A139</x:f>
        <x:v>1</x:v>
      </x:c>
      <x:c r="C139" s="38" t="n">
        <x:f>'Raw Data'!B139</x:f>
        <x:v>3</x:v>
      </x:c>
      <x:c r="D139" s="10" t="n">
        <x:f>'Raw Data'!C139</x:f>
        <x:v>4625</x:v>
      </x:c>
      <x:c r="E139" s="10" t="n">
        <x:f>'Raw Data'!D139</x:f>
        <x:v>8579</x:v>
      </x:c>
      <x:c r="F139" s="10" t="n">
        <x:f>'Raw Data'!E139</x:f>
        <x:v>7030</x:v>
      </x:c>
      <x:c r="G139" s="10" t="n">
        <x:f>'Raw Data'!F139</x:f>
        <x:v>4575</x:v>
      </x:c>
      <x:c r="H139" s="10" t="n">
        <x:f>'Raw Data'!G139</x:f>
        <x:v>2447</x:v>
      </x:c>
      <x:c r="I139" s="10" t="n">
        <x:f>'Raw Data'!H139</x:f>
        <x:v>1542</x:v>
      </x:c>
      <x:c r="J139" s="10" t="str">
        <x:f>VLOOKUP(B139,'Lookups &amp; Notes'!$A$4:$B$5,2,FALSE)</x:f>
        <x:v>Horeca</x:v>
      </x:c>
      <x:c r="K139" s="10" t="str">
        <x:f>VLOOKUP(C139,'Lookups &amp; Notes'!$A$8:$B$10,2,FALSE)</x:f>
        <x:v>Other</x:v>
      </x:c>
      <x:c r="L139" s="10" t="n">
        <x:f>SUM(D139:I139)</x:f>
        <x:v>28798</x:v>
      </x:c>
      <x:c r="M139" s="39" t="n">
        <x:f>IFERROR(F139/L139,0)</x:f>
        <x:v>0.244114174595458</x:v>
      </x:c>
      <x:c r="N139" s="38" t="str">
        <x:f>IF(L139&gt;='Lookups &amp; Notes'!$E$4,"High Value","Standard")</x:f>
        <x:v>High Value</x:v>
      </x:c>
    </x:row>
    <x:row r="140">
      <x:c r="A140" s="38" t="str">
        <x:v>CUST-138</x:v>
      </x:c>
      <x:c r="B140" s="38" t="n">
        <x:f>'Raw Data'!A140</x:f>
        <x:v>1</x:v>
      </x:c>
      <x:c r="C140" s="38" t="n">
        <x:f>'Raw Data'!B140</x:f>
        <x:v>3</x:v>
      </x:c>
      <x:c r="D140" s="10" t="n">
        <x:f>'Raw Data'!C140</x:f>
        <x:v>3087</x:v>
      </x:c>
      <x:c r="E140" s="10" t="n">
        <x:f>'Raw Data'!D140</x:f>
        <x:v>8080</x:v>
      </x:c>
      <x:c r="F140" s="10" t="n">
        <x:f>'Raw Data'!E140</x:f>
        <x:v>8282</x:v>
      </x:c>
      <x:c r="G140" s="10" t="n">
        <x:f>'Raw Data'!F140</x:f>
        <x:v>661</x:v>
      </x:c>
      <x:c r="H140" s="10" t="n">
        <x:f>'Raw Data'!G140</x:f>
        <x:v>721</x:v>
      </x:c>
      <x:c r="I140" s="10" t="n">
        <x:f>'Raw Data'!H140</x:f>
        <x:v>36</x:v>
      </x:c>
      <x:c r="J140" s="10" t="str">
        <x:f>VLOOKUP(B140,'Lookups &amp; Notes'!$A$4:$B$5,2,FALSE)</x:f>
        <x:v>Horeca</x:v>
      </x:c>
      <x:c r="K140" s="10" t="str">
        <x:f>VLOOKUP(C140,'Lookups &amp; Notes'!$A$8:$B$10,2,FALSE)</x:f>
        <x:v>Other</x:v>
      </x:c>
      <x:c r="L140" s="10" t="n">
        <x:f>SUM(D140:I140)</x:f>
        <x:v>20867</x:v>
      </x:c>
      <x:c r="M140" s="39" t="n">
        <x:f>IFERROR(F140/L140,0)</x:f>
        <x:v>0.3968946182968323</x:v>
      </x:c>
      <x:c r="N140" s="38" t="str">
        <x:f>IF(L140&gt;='Lookups &amp; Notes'!$E$4,"High Value","Standard")</x:f>
        <x:v>Standard</x:v>
      </x:c>
    </x:row>
    <x:row r="141">
      <x:c r="A141" s="38" t="str">
        <x:v>CUST-139</x:v>
      </x:c>
      <x:c r="B141" s="38" t="n">
        <x:f>'Raw Data'!A141</x:f>
        <x:v>1</x:v>
      </x:c>
      <x:c r="C141" s="38" t="n">
        <x:f>'Raw Data'!B141</x:f>
        <x:v>3</x:v>
      </x:c>
      <x:c r="D141" s="10" t="n">
        <x:f>'Raw Data'!C141</x:f>
        <x:v>13537</x:v>
      </x:c>
      <x:c r="E141" s="10" t="n">
        <x:f>'Raw Data'!D141</x:f>
        <x:v>4257</x:v>
      </x:c>
      <x:c r="F141" s="10" t="n">
        <x:f>'Raw Data'!E141</x:f>
        <x:v>5034</x:v>
      </x:c>
      <x:c r="G141" s="10" t="n">
        <x:f>'Raw Data'!F141</x:f>
        <x:v>155</x:v>
      </x:c>
      <x:c r="H141" s="10" t="n">
        <x:f>'Raw Data'!G141</x:f>
        <x:v>249</x:v>
      </x:c>
      <x:c r="I141" s="10" t="n">
        <x:f>'Raw Data'!H141</x:f>
        <x:v>3271</x:v>
      </x:c>
      <x:c r="J141" s="10" t="str">
        <x:f>VLOOKUP(B141,'Lookups &amp; Notes'!$A$4:$B$5,2,FALSE)</x:f>
        <x:v>Horeca</x:v>
      </x:c>
      <x:c r="K141" s="10" t="str">
        <x:f>VLOOKUP(C141,'Lookups &amp; Notes'!$A$8:$B$10,2,FALSE)</x:f>
        <x:v>Other</x:v>
      </x:c>
      <x:c r="L141" s="10" t="n">
        <x:f>SUM(D141:I141)</x:f>
        <x:v>26503</x:v>
      </x:c>
      <x:c r="M141" s="39" t="n">
        <x:f>IFERROR(F141/L141,0)</x:f>
        <x:v>0.1899407614232351</x:v>
      </x:c>
      <x:c r="N141" s="38" t="str">
        <x:f>IF(L141&gt;='Lookups &amp; Notes'!$E$4,"High Value","Standard")</x:f>
        <x:v>Standard</x:v>
      </x:c>
    </x:row>
    <x:row r="142">
      <x:c r="A142" s="38" t="str">
        <x:v>CUST-140</x:v>
      </x:c>
      <x:c r="B142" s="38" t="n">
        <x:f>'Raw Data'!A142</x:f>
        <x:v>1</x:v>
      </x:c>
      <x:c r="C142" s="38" t="n">
        <x:f>'Raw Data'!B142</x:f>
        <x:v>3</x:v>
      </x:c>
      <x:c r="D142" s="10" t="n">
        <x:f>'Raw Data'!C142</x:f>
        <x:v>5387</x:v>
      </x:c>
      <x:c r="E142" s="10" t="n">
        <x:f>'Raw Data'!D142</x:f>
        <x:v>4979</x:v>
      </x:c>
      <x:c r="F142" s="10" t="n">
        <x:f>'Raw Data'!E142</x:f>
        <x:v>3343</x:v>
      </x:c>
      <x:c r="G142" s="10" t="n">
        <x:f>'Raw Data'!F142</x:f>
        <x:v>825</x:v>
      </x:c>
      <x:c r="H142" s="10" t="n">
        <x:f>'Raw Data'!G142</x:f>
        <x:v>637</x:v>
      </x:c>
      <x:c r="I142" s="10" t="n">
        <x:f>'Raw Data'!H142</x:f>
        <x:v>929</x:v>
      </x:c>
      <x:c r="J142" s="10" t="str">
        <x:f>VLOOKUP(B142,'Lookups &amp; Notes'!$A$4:$B$5,2,FALSE)</x:f>
        <x:v>Horeca</x:v>
      </x:c>
      <x:c r="K142" s="10" t="str">
        <x:f>VLOOKUP(C142,'Lookups &amp; Notes'!$A$8:$B$10,2,FALSE)</x:f>
        <x:v>Other</x:v>
      </x:c>
      <x:c r="L142" s="10" t="n">
        <x:f>SUM(D142:I142)</x:f>
        <x:v>16100</x:v>
      </x:c>
      <x:c r="M142" s="39" t="n">
        <x:f>IFERROR(F142/L142,0)</x:f>
        <x:v>0.20763975155279504</x:v>
      </x:c>
      <x:c r="N142" s="38" t="str">
        <x:f>IF(L142&gt;='Lookups &amp; Notes'!$E$4,"High Value","Standard")</x:f>
        <x:v>Standard</x:v>
      </x:c>
    </x:row>
    <x:row r="143">
      <x:c r="A143" s="38" t="str">
        <x:v>CUST-141</x:v>
      </x:c>
      <x:c r="B143" s="38" t="n">
        <x:f>'Raw Data'!A143</x:f>
        <x:v>1</x:v>
      </x:c>
      <x:c r="C143" s="38" t="n">
        <x:f>'Raw Data'!B143</x:f>
        <x:v>3</x:v>
      </x:c>
      <x:c r="D143" s="10" t="n">
        <x:f>'Raw Data'!C143</x:f>
        <x:v>17623</x:v>
      </x:c>
      <x:c r="E143" s="10" t="n">
        <x:f>'Raw Data'!D143</x:f>
        <x:v>4280</x:v>
      </x:c>
      <x:c r="F143" s="10" t="n">
        <x:f>'Raw Data'!E143</x:f>
        <x:v>7305</x:v>
      </x:c>
      <x:c r="G143" s="10" t="n">
        <x:f>'Raw Data'!F143</x:f>
        <x:v>2279</x:v>
      </x:c>
      <x:c r="H143" s="10" t="n">
        <x:f>'Raw Data'!G143</x:f>
        <x:v>960</x:v>
      </x:c>
      <x:c r="I143" s="10" t="n">
        <x:f>'Raw Data'!H143</x:f>
        <x:v>2616</x:v>
      </x:c>
      <x:c r="J143" s="10" t="str">
        <x:f>VLOOKUP(B143,'Lookups &amp; Notes'!$A$4:$B$5,2,FALSE)</x:f>
        <x:v>Horeca</x:v>
      </x:c>
      <x:c r="K143" s="10" t="str">
        <x:f>VLOOKUP(C143,'Lookups &amp; Notes'!$A$8:$B$10,2,FALSE)</x:f>
        <x:v>Other</x:v>
      </x:c>
      <x:c r="L143" s="10" t="n">
        <x:f>SUM(D143:I143)</x:f>
        <x:v>35063</x:v>
      </x:c>
      <x:c r="M143" s="39" t="n">
        <x:f>IFERROR(F143/L143,0)</x:f>
        <x:v>0.20833927501925106</x:v>
      </x:c>
      <x:c r="N143" s="38" t="str">
        <x:f>IF(L143&gt;='Lookups &amp; Notes'!$E$4,"High Value","Standard")</x:f>
        <x:v>High Value</x:v>
      </x:c>
    </x:row>
    <x:row r="144">
      <x:c r="A144" s="38" t="str">
        <x:v>CUST-142</x:v>
      </x:c>
      <x:c r="B144" s="38" t="n">
        <x:f>'Raw Data'!A144</x:f>
        <x:v>1</x:v>
      </x:c>
      <x:c r="C144" s="38" t="n">
        <x:f>'Raw Data'!B144</x:f>
        <x:v>3</x:v>
      </x:c>
      <x:c r="D144" s="10" t="n">
        <x:f>'Raw Data'!C144</x:f>
        <x:v>30379</x:v>
      </x:c>
      <x:c r="E144" s="10" t="n">
        <x:f>'Raw Data'!D144</x:f>
        <x:v>13252</x:v>
      </x:c>
      <x:c r="F144" s="10" t="n">
        <x:f>'Raw Data'!E144</x:f>
        <x:v>5189</x:v>
      </x:c>
      <x:c r="G144" s="10" t="n">
        <x:f>'Raw Data'!F144</x:f>
        <x:v>321</x:v>
      </x:c>
      <x:c r="H144" s="10" t="n">
        <x:f>'Raw Data'!G144</x:f>
        <x:v>51</x:v>
      </x:c>
      <x:c r="I144" s="10" t="n">
        <x:f>'Raw Data'!H144</x:f>
        <x:v>1450</x:v>
      </x:c>
      <x:c r="J144" s="10" t="str">
        <x:f>VLOOKUP(B144,'Lookups &amp; Notes'!$A$4:$B$5,2,FALSE)</x:f>
        <x:v>Horeca</x:v>
      </x:c>
      <x:c r="K144" s="10" t="str">
        <x:f>VLOOKUP(C144,'Lookups &amp; Notes'!$A$8:$B$10,2,FALSE)</x:f>
        <x:v>Other</x:v>
      </x:c>
      <x:c r="L144" s="10" t="n">
        <x:f>SUM(D144:I144)</x:f>
        <x:v>50642</x:v>
      </x:c>
      <x:c r="M144" s="39" t="n">
        <x:f>IFERROR(F144/L144,0)</x:f>
        <x:v>0.10246435764780222</x:v>
      </x:c>
      <x:c r="N144" s="38" t="str">
        <x:f>IF(L144&gt;='Lookups &amp; Notes'!$E$4,"High Value","Standard")</x:f>
        <x:v>High Value</x:v>
      </x:c>
    </x:row>
    <x:row r="145">
      <x:c r="A145" s="38" t="str">
        <x:v>CUST-143</x:v>
      </x:c>
      <x:c r="B145" s="38" t="n">
        <x:f>'Raw Data'!A145</x:f>
        <x:v>1</x:v>
      </x:c>
      <x:c r="C145" s="38" t="n">
        <x:f>'Raw Data'!B145</x:f>
        <x:v>3</x:v>
      </x:c>
      <x:c r="D145" s="10" t="n">
        <x:f>'Raw Data'!C145</x:f>
        <x:v>37036</x:v>
      </x:c>
      <x:c r="E145" s="10" t="n">
        <x:f>'Raw Data'!D145</x:f>
        <x:v>7152</x:v>
      </x:c>
      <x:c r="F145" s="10" t="n">
        <x:f>'Raw Data'!E145</x:f>
        <x:v>8253</x:v>
      </x:c>
      <x:c r="G145" s="10" t="n">
        <x:f>'Raw Data'!F145</x:f>
        <x:v>2995</x:v>
      </x:c>
      <x:c r="H145" s="10" t="n">
        <x:f>'Raw Data'!G145</x:f>
        <x:v>20</x:v>
      </x:c>
      <x:c r="I145" s="10" t="n">
        <x:f>'Raw Data'!H145</x:f>
        <x:v>3</x:v>
      </x:c>
      <x:c r="J145" s="10" t="str">
        <x:f>VLOOKUP(B145,'Lookups &amp; Notes'!$A$4:$B$5,2,FALSE)</x:f>
        <x:v>Horeca</x:v>
      </x:c>
      <x:c r="K145" s="10" t="str">
        <x:f>VLOOKUP(C145,'Lookups &amp; Notes'!$A$8:$B$10,2,FALSE)</x:f>
        <x:v>Other</x:v>
      </x:c>
      <x:c r="L145" s="10" t="n">
        <x:f>SUM(D145:I145)</x:f>
        <x:v>55459</x:v>
      </x:c>
      <x:c r="M145" s="39" t="n">
        <x:f>IFERROR(F145/L145,0)</x:f>
        <x:v>0.14881263636199715</x:v>
      </x:c>
      <x:c r="N145" s="38" t="str">
        <x:f>IF(L145&gt;='Lookups &amp; Notes'!$E$4,"High Value","Standard")</x:f>
        <x:v>High Value</x:v>
      </x:c>
    </x:row>
    <x:row r="146">
      <x:c r="A146" s="38" t="str">
        <x:v>CUST-144</x:v>
      </x:c>
      <x:c r="B146" s="38" t="n">
        <x:f>'Raw Data'!A146</x:f>
        <x:v>1</x:v>
      </x:c>
      <x:c r="C146" s="38" t="n">
        <x:f>'Raw Data'!B146</x:f>
        <x:v>3</x:v>
      </x:c>
      <x:c r="D146" s="10" t="n">
        <x:f>'Raw Data'!C146</x:f>
        <x:v>10405</x:v>
      </x:c>
      <x:c r="E146" s="10" t="n">
        <x:f>'Raw Data'!D146</x:f>
        <x:v>1596</x:v>
      </x:c>
      <x:c r="F146" s="10" t="n">
        <x:f>'Raw Data'!E146</x:f>
        <x:v>1096</x:v>
      </x:c>
      <x:c r="G146" s="10" t="n">
        <x:f>'Raw Data'!F146</x:f>
        <x:v>8425</x:v>
      </x:c>
      <x:c r="H146" s="10" t="n">
        <x:f>'Raw Data'!G146</x:f>
        <x:v>399</x:v>
      </x:c>
      <x:c r="I146" s="10" t="n">
        <x:f>'Raw Data'!H146</x:f>
        <x:v>318</x:v>
      </x:c>
      <x:c r="J146" s="10" t="str">
        <x:f>VLOOKUP(B146,'Lookups &amp; Notes'!$A$4:$B$5,2,FALSE)</x:f>
        <x:v>Horeca</x:v>
      </x:c>
      <x:c r="K146" s="10" t="str">
        <x:f>VLOOKUP(C146,'Lookups &amp; Notes'!$A$8:$B$10,2,FALSE)</x:f>
        <x:v>Other</x:v>
      </x:c>
      <x:c r="L146" s="10" t="n">
        <x:f>SUM(D146:I146)</x:f>
        <x:v>22239</x:v>
      </x:c>
      <x:c r="M146" s="39" t="n">
        <x:f>IFERROR(F146/L146,0)</x:f>
        <x:v>0.04928279149242322</x:v>
      </x:c>
      <x:c r="N146" s="38" t="str">
        <x:f>IF(L146&gt;='Lookups &amp; Notes'!$E$4,"High Value","Standard")</x:f>
        <x:v>Standard</x:v>
      </x:c>
    </x:row>
    <x:row r="147">
      <x:c r="A147" s="38" t="str">
        <x:v>CUST-145</x:v>
      </x:c>
      <x:c r="B147" s="38" t="n">
        <x:f>'Raw Data'!A147</x:f>
        <x:v>1</x:v>
      </x:c>
      <x:c r="C147" s="38" t="n">
        <x:f>'Raw Data'!B147</x:f>
        <x:v>3</x:v>
      </x:c>
      <x:c r="D147" s="10" t="n">
        <x:f>'Raw Data'!C147</x:f>
        <x:v>18827</x:v>
      </x:c>
      <x:c r="E147" s="10" t="n">
        <x:f>'Raw Data'!D147</x:f>
        <x:v>3677</x:v>
      </x:c>
      <x:c r="F147" s="10" t="n">
        <x:f>'Raw Data'!E147</x:f>
        <x:v>1988</x:v>
      </x:c>
      <x:c r="G147" s="10" t="n">
        <x:f>'Raw Data'!F147</x:f>
        <x:v>118</x:v>
      </x:c>
      <x:c r="H147" s="10" t="n">
        <x:f>'Raw Data'!G147</x:f>
        <x:v>516</x:v>
      </x:c>
      <x:c r="I147" s="10" t="n">
        <x:f>'Raw Data'!H147</x:f>
        <x:v>201</x:v>
      </x:c>
      <x:c r="J147" s="10" t="str">
        <x:f>VLOOKUP(B147,'Lookups &amp; Notes'!$A$4:$B$5,2,FALSE)</x:f>
        <x:v>Horeca</x:v>
      </x:c>
      <x:c r="K147" s="10" t="str">
        <x:f>VLOOKUP(C147,'Lookups &amp; Notes'!$A$8:$B$10,2,FALSE)</x:f>
        <x:v>Other</x:v>
      </x:c>
      <x:c r="L147" s="10" t="n">
        <x:f>SUM(D147:I147)</x:f>
        <x:v>25327</x:v>
      </x:c>
      <x:c r="M147" s="39" t="n">
        <x:f>IFERROR(F147/L147,0)</x:f>
        <x:v>0.07849330753741067</x:v>
      </x:c>
      <x:c r="N147" s="38" t="str">
        <x:f>IF(L147&gt;='Lookups &amp; Notes'!$E$4,"High Value","Standard")</x:f>
        <x:v>Standard</x:v>
      </x:c>
    </x:row>
    <x:row r="148">
      <x:c r="A148" s="38" t="str">
        <x:v>CUST-146</x:v>
      </x:c>
      <x:c r="B148" s="38" t="n">
        <x:f>'Raw Data'!A148</x:f>
        <x:v>2</x:v>
      </x:c>
      <x:c r="C148" s="38" t="n">
        <x:f>'Raw Data'!B148</x:f>
        <x:v>3</x:v>
      </x:c>
      <x:c r="D148" s="10" t="n">
        <x:f>'Raw Data'!C148</x:f>
        <x:v>22039</x:v>
      </x:c>
      <x:c r="E148" s="10" t="n">
        <x:f>'Raw Data'!D148</x:f>
        <x:v>8384</x:v>
      </x:c>
      <x:c r="F148" s="10" t="n">
        <x:f>'Raw Data'!E148</x:f>
        <x:v>34792</x:v>
      </x:c>
      <x:c r="G148" s="10" t="n">
        <x:f>'Raw Data'!F148</x:f>
        <x:v>42</x:v>
      </x:c>
      <x:c r="H148" s="10" t="n">
        <x:f>'Raw Data'!G148</x:f>
        <x:v>12591</x:v>
      </x:c>
      <x:c r="I148" s="10" t="n">
        <x:f>'Raw Data'!H148</x:f>
        <x:v>4430</x:v>
      </x:c>
      <x:c r="J148" s="10" t="str">
        <x:f>VLOOKUP(B148,'Lookups &amp; Notes'!$A$4:$B$5,2,FALSE)</x:f>
        <x:v>Retail</x:v>
      </x:c>
      <x:c r="K148" s="10" t="str">
        <x:f>VLOOKUP(C148,'Lookups &amp; Notes'!$A$8:$B$10,2,FALSE)</x:f>
        <x:v>Other</x:v>
      </x:c>
      <x:c r="L148" s="10" t="n">
        <x:f>SUM(D148:I148)</x:f>
        <x:v>82278</x:v>
      </x:c>
      <x:c r="M148" s="39" t="n">
        <x:f>IFERROR(F148/L148,0)</x:f>
        <x:v>0.42285908748389606</x:v>
      </x:c>
      <x:c r="N148" s="38" t="str">
        <x:f>IF(L148&gt;='Lookups &amp; Notes'!$E$4,"High Value","Standard")</x:f>
        <x:v>High Value</x:v>
      </x:c>
    </x:row>
    <x:row r="149">
      <x:c r="A149" s="38" t="str">
        <x:v>CUST-147</x:v>
      </x:c>
      <x:c r="B149" s="38" t="n">
        <x:f>'Raw Data'!A149</x:f>
        <x:v>1</x:v>
      </x:c>
      <x:c r="C149" s="38" t="n">
        <x:f>'Raw Data'!B149</x:f>
        <x:v>3</x:v>
      </x:c>
      <x:c r="D149" s="10" t="n">
        <x:f>'Raw Data'!C149</x:f>
        <x:v>7769</x:v>
      </x:c>
      <x:c r="E149" s="10" t="n">
        <x:f>'Raw Data'!D149</x:f>
        <x:v>1936</x:v>
      </x:c>
      <x:c r="F149" s="10" t="n">
        <x:f>'Raw Data'!E149</x:f>
        <x:v>2177</x:v>
      </x:c>
      <x:c r="G149" s="10" t="n">
        <x:f>'Raw Data'!F149</x:f>
        <x:v>926</x:v>
      </x:c>
      <x:c r="H149" s="10" t="n">
        <x:f>'Raw Data'!G149</x:f>
        <x:v>73</x:v>
      </x:c>
      <x:c r="I149" s="10" t="n">
        <x:f>'Raw Data'!H149</x:f>
        <x:v>520</x:v>
      </x:c>
      <x:c r="J149" s="10" t="str">
        <x:f>VLOOKUP(B149,'Lookups &amp; Notes'!$A$4:$B$5,2,FALSE)</x:f>
        <x:v>Horeca</x:v>
      </x:c>
      <x:c r="K149" s="10" t="str">
        <x:f>VLOOKUP(C149,'Lookups &amp; Notes'!$A$8:$B$10,2,FALSE)</x:f>
        <x:v>Other</x:v>
      </x:c>
      <x:c r="L149" s="10" t="n">
        <x:f>SUM(D149:I149)</x:f>
        <x:v>13401</x:v>
      </x:c>
      <x:c r="M149" s="39" t="n">
        <x:f>IFERROR(F149/L149,0)</x:f>
        <x:v>0.16245056339079172</x:v>
      </x:c>
      <x:c r="N149" s="38" t="str">
        <x:f>IF(L149&gt;='Lookups &amp; Notes'!$E$4,"High Value","Standard")</x:f>
        <x:v>Standard</x:v>
      </x:c>
    </x:row>
    <x:row r="150">
      <x:c r="A150" s="38" t="str">
        <x:v>CUST-148</x:v>
      </x:c>
      <x:c r="B150" s="38" t="n">
        <x:f>'Raw Data'!A150</x:f>
        <x:v>1</x:v>
      </x:c>
      <x:c r="C150" s="38" t="n">
        <x:f>'Raw Data'!B150</x:f>
        <x:v>3</x:v>
      </x:c>
      <x:c r="D150" s="10" t="n">
        <x:f>'Raw Data'!C150</x:f>
        <x:v>9203</x:v>
      </x:c>
      <x:c r="E150" s="10" t="n">
        <x:f>'Raw Data'!D150</x:f>
        <x:v>3373</x:v>
      </x:c>
      <x:c r="F150" s="10" t="n">
        <x:f>'Raw Data'!E150</x:f>
        <x:v>2707</x:v>
      </x:c>
      <x:c r="G150" s="10" t="n">
        <x:f>'Raw Data'!F150</x:f>
        <x:v>1286</x:v>
      </x:c>
      <x:c r="H150" s="10" t="n">
        <x:f>'Raw Data'!G150</x:f>
        <x:v>1082</x:v>
      </x:c>
      <x:c r="I150" s="10" t="n">
        <x:f>'Raw Data'!H150</x:f>
        <x:v>526</x:v>
      </x:c>
      <x:c r="J150" s="10" t="str">
        <x:f>VLOOKUP(B150,'Lookups &amp; Notes'!$A$4:$B$5,2,FALSE)</x:f>
        <x:v>Horeca</x:v>
      </x:c>
      <x:c r="K150" s="10" t="str">
        <x:f>VLOOKUP(C150,'Lookups &amp; Notes'!$A$8:$B$10,2,FALSE)</x:f>
        <x:v>Other</x:v>
      </x:c>
      <x:c r="L150" s="10" t="n">
        <x:f>SUM(D150:I150)</x:f>
        <x:v>18177</x:v>
      </x:c>
      <x:c r="M150" s="39" t="n">
        <x:f>IFERROR(F150/L150,0)</x:f>
        <x:v>0.14892446498322057</x:v>
      </x:c>
      <x:c r="N150" s="38" t="str">
        <x:f>IF(L150&gt;='Lookups &amp; Notes'!$E$4,"High Value","Standard")</x:f>
        <x:v>Standard</x:v>
      </x:c>
    </x:row>
    <x:row r="151">
      <x:c r="A151" s="38" t="str">
        <x:v>CUST-149</x:v>
      </x:c>
      <x:c r="B151" s="38" t="n">
        <x:f>'Raw Data'!A151</x:f>
        <x:v>1</x:v>
      </x:c>
      <x:c r="C151" s="38" t="n">
        <x:f>'Raw Data'!B151</x:f>
        <x:v>3</x:v>
      </x:c>
      <x:c r="D151" s="10" t="n">
        <x:f>'Raw Data'!C151</x:f>
        <x:v>5924</x:v>
      </x:c>
      <x:c r="E151" s="10" t="n">
        <x:f>'Raw Data'!D151</x:f>
        <x:v>584</x:v>
      </x:c>
      <x:c r="F151" s="10" t="n">
        <x:f>'Raw Data'!E151</x:f>
        <x:v>542</x:v>
      </x:c>
      <x:c r="G151" s="10" t="n">
        <x:f>'Raw Data'!F151</x:f>
        <x:v>4052</x:v>
      </x:c>
      <x:c r="H151" s="10" t="n">
        <x:f>'Raw Data'!G151</x:f>
        <x:v>283</x:v>
      </x:c>
      <x:c r="I151" s="10" t="n">
        <x:f>'Raw Data'!H151</x:f>
        <x:v>434</x:v>
      </x:c>
      <x:c r="J151" s="10" t="str">
        <x:f>VLOOKUP(B151,'Lookups &amp; Notes'!$A$4:$B$5,2,FALSE)</x:f>
        <x:v>Horeca</x:v>
      </x:c>
      <x:c r="K151" s="10" t="str">
        <x:f>VLOOKUP(C151,'Lookups &amp; Notes'!$A$8:$B$10,2,FALSE)</x:f>
        <x:v>Other</x:v>
      </x:c>
      <x:c r="L151" s="10" t="n">
        <x:f>SUM(D151:I151)</x:f>
        <x:v>11819</x:v>
      </x:c>
      <x:c r="M151" s="39" t="n">
        <x:f>IFERROR(F151/L151,0)</x:f>
        <x:v>0.04585836365174719</x:v>
      </x:c>
      <x:c r="N151" s="38" t="str">
        <x:f>IF(L151&gt;='Lookups &amp; Notes'!$E$4,"High Value","Standard")</x:f>
        <x:v>Standard</x:v>
      </x:c>
    </x:row>
    <x:row r="152">
      <x:c r="A152" s="38" t="str">
        <x:v>CUST-150</x:v>
      </x:c>
      <x:c r="B152" s="38" t="n">
        <x:f>'Raw Data'!A152</x:f>
        <x:v>1</x:v>
      </x:c>
      <x:c r="C152" s="38" t="n">
        <x:f>'Raw Data'!B152</x:f>
        <x:v>3</x:v>
      </x:c>
      <x:c r="D152" s="10" t="n">
        <x:f>'Raw Data'!C152</x:f>
        <x:v>31812</x:v>
      </x:c>
      <x:c r="E152" s="10" t="n">
        <x:f>'Raw Data'!D152</x:f>
        <x:v>1433</x:v>
      </x:c>
      <x:c r="F152" s="10" t="n">
        <x:f>'Raw Data'!E152</x:f>
        <x:v>1651</x:v>
      </x:c>
      <x:c r="G152" s="10" t="n">
        <x:f>'Raw Data'!F152</x:f>
        <x:v>800</x:v>
      </x:c>
      <x:c r="H152" s="10" t="n">
        <x:f>'Raw Data'!G152</x:f>
        <x:v>113</x:v>
      </x:c>
      <x:c r="I152" s="10" t="n">
        <x:f>'Raw Data'!H152</x:f>
        <x:v>1440</x:v>
      </x:c>
      <x:c r="J152" s="10" t="str">
        <x:f>VLOOKUP(B152,'Lookups &amp; Notes'!$A$4:$B$5,2,FALSE)</x:f>
        <x:v>Horeca</x:v>
      </x:c>
      <x:c r="K152" s="10" t="str">
        <x:f>VLOOKUP(C152,'Lookups &amp; Notes'!$A$8:$B$10,2,FALSE)</x:f>
        <x:v>Other</x:v>
      </x:c>
      <x:c r="L152" s="10" t="n">
        <x:f>SUM(D152:I152)</x:f>
        <x:v>37249</x:v>
      </x:c>
      <x:c r="M152" s="39" t="n">
        <x:f>IFERROR(F152/L152,0)</x:f>
        <x:v>0.0443233375392628</x:v>
      </x:c>
      <x:c r="N152" s="38" t="str">
        <x:f>IF(L152&gt;='Lookups &amp; Notes'!$E$4,"High Value","Standard")</x:f>
        <x:v>High Value</x:v>
      </x:c>
    </x:row>
    <x:row r="153">
      <x:c r="A153" s="38" t="str">
        <x:v>CUST-151</x:v>
      </x:c>
      <x:c r="B153" s="38" t="n">
        <x:f>'Raw Data'!A153</x:f>
        <x:v>1</x:v>
      </x:c>
      <x:c r="C153" s="38" t="n">
        <x:f>'Raw Data'!B153</x:f>
        <x:v>3</x:v>
      </x:c>
      <x:c r="D153" s="10" t="n">
        <x:f>'Raw Data'!C153</x:f>
        <x:v>16225</x:v>
      </x:c>
      <x:c r="E153" s="10" t="n">
        <x:f>'Raw Data'!D153</x:f>
        <x:v>1825</x:v>
      </x:c>
      <x:c r="F153" s="10" t="n">
        <x:f>'Raw Data'!E153</x:f>
        <x:v>1765</x:v>
      </x:c>
      <x:c r="G153" s="10" t="n">
        <x:f>'Raw Data'!F153</x:f>
        <x:v>853</x:v>
      </x:c>
      <x:c r="H153" s="10" t="n">
        <x:f>'Raw Data'!G153</x:f>
        <x:v>170</x:v>
      </x:c>
      <x:c r="I153" s="10" t="n">
        <x:f>'Raw Data'!H153</x:f>
        <x:v>1067</x:v>
      </x:c>
      <x:c r="J153" s="10" t="str">
        <x:f>VLOOKUP(B153,'Lookups &amp; Notes'!$A$4:$B$5,2,FALSE)</x:f>
        <x:v>Horeca</x:v>
      </x:c>
      <x:c r="K153" s="10" t="str">
        <x:f>VLOOKUP(C153,'Lookups &amp; Notes'!$A$8:$B$10,2,FALSE)</x:f>
        <x:v>Other</x:v>
      </x:c>
      <x:c r="L153" s="10" t="n">
        <x:f>SUM(D153:I153)</x:f>
        <x:v>21905</x:v>
      </x:c>
      <x:c r="M153" s="39" t="n">
        <x:f>IFERROR(F153/L153,0)</x:f>
        <x:v>0.08057521113900935</x:v>
      </x:c>
      <x:c r="N153" s="38" t="str">
        <x:f>IF(L153&gt;='Lookups &amp; Notes'!$E$4,"High Value","Standard")</x:f>
        <x:v>Standard</x:v>
      </x:c>
    </x:row>
    <x:row r="154">
      <x:c r="A154" s="38" t="str">
        <x:v>CUST-152</x:v>
      </x:c>
      <x:c r="B154" s="38" t="n">
        <x:f>'Raw Data'!A154</x:f>
        <x:v>1</x:v>
      </x:c>
      <x:c r="C154" s="38" t="n">
        <x:f>'Raw Data'!B154</x:f>
        <x:v>3</x:v>
      </x:c>
      <x:c r="D154" s="10" t="n">
        <x:f>'Raw Data'!C154</x:f>
        <x:v>1289</x:v>
      </x:c>
      <x:c r="E154" s="10" t="n">
        <x:f>'Raw Data'!D154</x:f>
        <x:v>3328</x:v>
      </x:c>
      <x:c r="F154" s="10" t="n">
        <x:f>'Raw Data'!E154</x:f>
        <x:v>2022</x:v>
      </x:c>
      <x:c r="G154" s="10" t="n">
        <x:f>'Raw Data'!F154</x:f>
        <x:v>531</x:v>
      </x:c>
      <x:c r="H154" s="10" t="n">
        <x:f>'Raw Data'!G154</x:f>
        <x:v>255</x:v>
      </x:c>
      <x:c r="I154" s="10" t="n">
        <x:f>'Raw Data'!H154</x:f>
        <x:v>1774</x:v>
      </x:c>
      <x:c r="J154" s="10" t="str">
        <x:f>VLOOKUP(B154,'Lookups &amp; Notes'!$A$4:$B$5,2,FALSE)</x:f>
        <x:v>Horeca</x:v>
      </x:c>
      <x:c r="K154" s="10" t="str">
        <x:f>VLOOKUP(C154,'Lookups &amp; Notes'!$A$8:$B$10,2,FALSE)</x:f>
        <x:v>Other</x:v>
      </x:c>
      <x:c r="L154" s="10" t="n">
        <x:f>SUM(D154:I154)</x:f>
        <x:v>9199</x:v>
      </x:c>
      <x:c r="M154" s="39" t="n">
        <x:f>IFERROR(F154/L154,0)</x:f>
        <x:v>0.21980650070659855</x:v>
      </x:c>
      <x:c r="N154" s="38" t="str">
        <x:f>IF(L154&gt;='Lookups &amp; Notes'!$E$4,"High Value","Standard")</x:f>
        <x:v>Standard</x:v>
      </x:c>
    </x:row>
    <x:row r="155">
      <x:c r="A155" s="38" t="str">
        <x:v>CUST-153</x:v>
      </x:c>
      <x:c r="B155" s="38" t="n">
        <x:f>'Raw Data'!A155</x:f>
        <x:v>1</x:v>
      </x:c>
      <x:c r="C155" s="38" t="n">
        <x:f>'Raw Data'!B155</x:f>
        <x:v>3</x:v>
      </x:c>
      <x:c r="D155" s="10" t="n">
        <x:f>'Raw Data'!C155</x:f>
        <x:v>18840</x:v>
      </x:c>
      <x:c r="E155" s="10" t="n">
        <x:f>'Raw Data'!D155</x:f>
        <x:v>1371</x:v>
      </x:c>
      <x:c r="F155" s="10" t="n">
        <x:f>'Raw Data'!E155</x:f>
        <x:v>3135</x:v>
      </x:c>
      <x:c r="G155" s="10" t="n">
        <x:f>'Raw Data'!F155</x:f>
        <x:v>3001</x:v>
      </x:c>
      <x:c r="H155" s="10" t="n">
        <x:f>'Raw Data'!G155</x:f>
        <x:v>352</x:v>
      </x:c>
      <x:c r="I155" s="10" t="n">
        <x:f>'Raw Data'!H155</x:f>
        <x:v>184</x:v>
      </x:c>
      <x:c r="J155" s="10" t="str">
        <x:f>VLOOKUP(B155,'Lookups &amp; Notes'!$A$4:$B$5,2,FALSE)</x:f>
        <x:v>Horeca</x:v>
      </x:c>
      <x:c r="K155" s="10" t="str">
        <x:f>VLOOKUP(C155,'Lookups &amp; Notes'!$A$8:$B$10,2,FALSE)</x:f>
        <x:v>Other</x:v>
      </x:c>
      <x:c r="L155" s="10" t="n">
        <x:f>SUM(D155:I155)</x:f>
        <x:v>26883</x:v>
      </x:c>
      <x:c r="M155" s="39" t="n">
        <x:f>IFERROR(F155/L155,0)</x:f>
        <x:v>0.11661644905702488</x:v>
      </x:c>
      <x:c r="N155" s="38" t="str">
        <x:f>IF(L155&gt;='Lookups &amp; Notes'!$E$4,"High Value","Standard")</x:f>
        <x:v>Standard</x:v>
      </x:c>
    </x:row>
    <x:row r="156">
      <x:c r="A156" s="38" t="str">
        <x:v>CUST-154</x:v>
      </x:c>
      <x:c r="B156" s="38" t="n">
        <x:f>'Raw Data'!A156</x:f>
        <x:v>1</x:v>
      </x:c>
      <x:c r="C156" s="38" t="n">
        <x:f>'Raw Data'!B156</x:f>
        <x:v>3</x:v>
      </x:c>
      <x:c r="D156" s="10" t="n">
        <x:f>'Raw Data'!C156</x:f>
        <x:v>3463</x:v>
      </x:c>
      <x:c r="E156" s="10" t="n">
        <x:f>'Raw Data'!D156</x:f>
        <x:v>9250</x:v>
      </x:c>
      <x:c r="F156" s="10" t="n">
        <x:f>'Raw Data'!E156</x:f>
        <x:v>2368</x:v>
      </x:c>
      <x:c r="G156" s="10" t="n">
        <x:f>'Raw Data'!F156</x:f>
        <x:v>779</x:v>
      </x:c>
      <x:c r="H156" s="10" t="n">
        <x:f>'Raw Data'!G156</x:f>
        <x:v>302</x:v>
      </x:c>
      <x:c r="I156" s="10" t="n">
        <x:f>'Raw Data'!H156</x:f>
        <x:v>1627</x:v>
      </x:c>
      <x:c r="J156" s="10" t="str">
        <x:f>VLOOKUP(B156,'Lookups &amp; Notes'!$A$4:$B$5,2,FALSE)</x:f>
        <x:v>Horeca</x:v>
      </x:c>
      <x:c r="K156" s="10" t="str">
        <x:f>VLOOKUP(C156,'Lookups &amp; Notes'!$A$8:$B$10,2,FALSE)</x:f>
        <x:v>Other</x:v>
      </x:c>
      <x:c r="L156" s="10" t="n">
        <x:f>SUM(D156:I156)</x:f>
        <x:v>17789</x:v>
      </x:c>
      <x:c r="M156" s="39" t="n">
        <x:f>IFERROR(F156/L156,0)</x:f>
        <x:v>0.13311597054359436</x:v>
      </x:c>
      <x:c r="N156" s="38" t="str">
        <x:f>IF(L156&gt;='Lookups &amp; Notes'!$E$4,"High Value","Standard")</x:f>
        <x:v>Standard</x:v>
      </x:c>
    </x:row>
    <x:row r="157">
      <x:c r="A157" s="38" t="str">
        <x:v>CUST-155</x:v>
      </x:c>
      <x:c r="B157" s="38" t="n">
        <x:f>'Raw Data'!A157</x:f>
        <x:v>1</x:v>
      </x:c>
      <x:c r="C157" s="38" t="n">
        <x:f>'Raw Data'!B157</x:f>
        <x:v>3</x:v>
      </x:c>
      <x:c r="D157" s="10" t="n">
        <x:f>'Raw Data'!C157</x:f>
        <x:v>622</x:v>
      </x:c>
      <x:c r="E157" s="10" t="n">
        <x:f>'Raw Data'!D157</x:f>
        <x:v>55</x:v>
      </x:c>
      <x:c r="F157" s="10" t="n">
        <x:f>'Raw Data'!E157</x:f>
        <x:v>137</x:v>
      </x:c>
      <x:c r="G157" s="10" t="n">
        <x:f>'Raw Data'!F157</x:f>
        <x:v>75</x:v>
      </x:c>
      <x:c r="H157" s="10" t="n">
        <x:f>'Raw Data'!G157</x:f>
        <x:v>7</x:v>
      </x:c>
      <x:c r="I157" s="10" t="n">
        <x:f>'Raw Data'!H157</x:f>
        <x:v>8</x:v>
      </x:c>
      <x:c r="J157" s="10" t="str">
        <x:f>VLOOKUP(B157,'Lookups &amp; Notes'!$A$4:$B$5,2,FALSE)</x:f>
        <x:v>Horeca</x:v>
      </x:c>
      <x:c r="K157" s="10" t="str">
        <x:f>VLOOKUP(C157,'Lookups &amp; Notes'!$A$8:$B$10,2,FALSE)</x:f>
        <x:v>Other</x:v>
      </x:c>
      <x:c r="L157" s="10" t="n">
        <x:f>SUM(D157:I157)</x:f>
        <x:v>904</x:v>
      </x:c>
      <x:c r="M157" s="39" t="n">
        <x:f>IFERROR(F157/L157,0)</x:f>
        <x:v>0.1515486725663717</x:v>
      </x:c>
      <x:c r="N157" s="38" t="str">
        <x:f>IF(L157&gt;='Lookups &amp; Notes'!$E$4,"High Value","Standard")</x:f>
        <x:v>Standard</x:v>
      </x:c>
    </x:row>
    <x:row r="158">
      <x:c r="A158" s="38" t="str">
        <x:v>CUST-156</x:v>
      </x:c>
      <x:c r="B158" s="38" t="n">
        <x:f>'Raw Data'!A158</x:f>
        <x:v>2</x:v>
      </x:c>
      <x:c r="C158" s="38" t="n">
        <x:f>'Raw Data'!B158</x:f>
        <x:v>3</x:v>
      </x:c>
      <x:c r="D158" s="10" t="n">
        <x:f>'Raw Data'!C158</x:f>
        <x:v>1989</x:v>
      </x:c>
      <x:c r="E158" s="10" t="n">
        <x:f>'Raw Data'!D158</x:f>
        <x:v>10690</x:v>
      </x:c>
      <x:c r="F158" s="10" t="n">
        <x:f>'Raw Data'!E158</x:f>
        <x:v>19460</x:v>
      </x:c>
      <x:c r="G158" s="10" t="n">
        <x:f>'Raw Data'!F158</x:f>
        <x:v>233</x:v>
      </x:c>
      <x:c r="H158" s="10" t="n">
        <x:f>'Raw Data'!G158</x:f>
        <x:v>11577</x:v>
      </x:c>
      <x:c r="I158" s="10" t="n">
        <x:f>'Raw Data'!H158</x:f>
        <x:v>2153</x:v>
      </x:c>
      <x:c r="J158" s="10" t="str">
        <x:f>VLOOKUP(B158,'Lookups &amp; Notes'!$A$4:$B$5,2,FALSE)</x:f>
        <x:v>Retail</x:v>
      </x:c>
      <x:c r="K158" s="10" t="str">
        <x:f>VLOOKUP(C158,'Lookups &amp; Notes'!$A$8:$B$10,2,FALSE)</x:f>
        <x:v>Other</x:v>
      </x:c>
      <x:c r="L158" s="10" t="n">
        <x:f>SUM(D158:I158)</x:f>
        <x:v>46102</x:v>
      </x:c>
      <x:c r="M158" s="39" t="n">
        <x:f>IFERROR(F158/L158,0)</x:f>
        <x:v>0.4221075007591861</x:v>
      </x:c>
      <x:c r="N158" s="38" t="str">
        <x:f>IF(L158&gt;='Lookups &amp; Notes'!$E$4,"High Value","Standard")</x:f>
        <x:v>High Value</x:v>
      </x:c>
    </x:row>
    <x:row r="159">
      <x:c r="A159" s="38" t="str">
        <x:v>CUST-157</x:v>
      </x:c>
      <x:c r="B159" s="38" t="n">
        <x:f>'Raw Data'!A159</x:f>
        <x:v>2</x:v>
      </x:c>
      <x:c r="C159" s="38" t="n">
        <x:f>'Raw Data'!B159</x:f>
        <x:v>3</x:v>
      </x:c>
      <x:c r="D159" s="10" t="n">
        <x:f>'Raw Data'!C159</x:f>
        <x:v>3830</x:v>
      </x:c>
      <x:c r="E159" s="10" t="n">
        <x:f>'Raw Data'!D159</x:f>
        <x:v>5291</x:v>
      </x:c>
      <x:c r="F159" s="10" t="n">
        <x:f>'Raw Data'!E159</x:f>
        <x:v>14855</x:v>
      </x:c>
      <x:c r="G159" s="10" t="n">
        <x:f>'Raw Data'!F159</x:f>
        <x:v>317</x:v>
      </x:c>
      <x:c r="H159" s="10" t="n">
        <x:f>'Raw Data'!G159</x:f>
        <x:v>6694</x:v>
      </x:c>
      <x:c r="I159" s="10" t="n">
        <x:f>'Raw Data'!H159</x:f>
        <x:v>3182</x:v>
      </x:c>
      <x:c r="J159" s="10" t="str">
        <x:f>VLOOKUP(B159,'Lookups &amp; Notes'!$A$4:$B$5,2,FALSE)</x:f>
        <x:v>Retail</x:v>
      </x:c>
      <x:c r="K159" s="10" t="str">
        <x:f>VLOOKUP(C159,'Lookups &amp; Notes'!$A$8:$B$10,2,FALSE)</x:f>
        <x:v>Other</x:v>
      </x:c>
      <x:c r="L159" s="10" t="n">
        <x:f>SUM(D159:I159)</x:f>
        <x:v>34169</x:v>
      </x:c>
      <x:c r="M159" s="39" t="n">
        <x:f>IFERROR(F159/L159,0)</x:f>
        <x:v>0.43475079750651174</x:v>
      </x:c>
      <x:c r="N159" s="38" t="str">
        <x:f>IF(L159&gt;='Lookups &amp; Notes'!$E$4,"High Value","Standard")</x:f>
        <x:v>High Value</x:v>
      </x:c>
    </x:row>
    <x:row r="160">
      <x:c r="A160" s="38" t="str">
        <x:v>CUST-158</x:v>
      </x:c>
      <x:c r="B160" s="38" t="n">
        <x:f>'Raw Data'!A160</x:f>
        <x:v>1</x:v>
      </x:c>
      <x:c r="C160" s="38" t="n">
        <x:f>'Raw Data'!B160</x:f>
        <x:v>3</x:v>
      </x:c>
      <x:c r="D160" s="10" t="n">
        <x:f>'Raw Data'!C160</x:f>
        <x:v>17773</x:v>
      </x:c>
      <x:c r="E160" s="10" t="n">
        <x:f>'Raw Data'!D160</x:f>
        <x:v>1366</x:v>
      </x:c>
      <x:c r="F160" s="10" t="n">
        <x:f>'Raw Data'!E160</x:f>
        <x:v>2474</x:v>
      </x:c>
      <x:c r="G160" s="10" t="n">
        <x:f>'Raw Data'!F160</x:f>
        <x:v>3378</x:v>
      </x:c>
      <x:c r="H160" s="10" t="n">
        <x:f>'Raw Data'!G160</x:f>
        <x:v>811</x:v>
      </x:c>
      <x:c r="I160" s="10" t="n">
        <x:f>'Raw Data'!H160</x:f>
        <x:v>418</x:v>
      </x:c>
      <x:c r="J160" s="10" t="str">
        <x:f>VLOOKUP(B160,'Lookups &amp; Notes'!$A$4:$B$5,2,FALSE)</x:f>
        <x:v>Horeca</x:v>
      </x:c>
      <x:c r="K160" s="10" t="str">
        <x:f>VLOOKUP(C160,'Lookups &amp; Notes'!$A$8:$B$10,2,FALSE)</x:f>
        <x:v>Other</x:v>
      </x:c>
      <x:c r="L160" s="10" t="n">
        <x:f>SUM(D160:I160)</x:f>
        <x:v>26220</x:v>
      </x:c>
      <x:c r="M160" s="39" t="n">
        <x:f>IFERROR(F160/L160,0)</x:f>
        <x:v>0.09435545385202136</x:v>
      </x:c>
      <x:c r="N160" s="38" t="str">
        <x:f>IF(L160&gt;='Lookups &amp; Notes'!$E$4,"High Value","Standard")</x:f>
        <x:v>Standard</x:v>
      </x:c>
    </x:row>
    <x:row r="161">
      <x:c r="A161" s="38" t="str">
        <x:v>CUST-159</x:v>
      </x:c>
      <x:c r="B161" s="38" t="n">
        <x:f>'Raw Data'!A161</x:f>
        <x:v>2</x:v>
      </x:c>
      <x:c r="C161" s="38" t="n">
        <x:f>'Raw Data'!B161</x:f>
        <x:v>3</x:v>
      </x:c>
      <x:c r="D161" s="10" t="n">
        <x:f>'Raw Data'!C161</x:f>
        <x:v>2861</x:v>
      </x:c>
      <x:c r="E161" s="10" t="n">
        <x:f>'Raw Data'!D161</x:f>
        <x:v>6570</x:v>
      </x:c>
      <x:c r="F161" s="10" t="n">
        <x:f>'Raw Data'!E161</x:f>
        <x:v>9618</x:v>
      </x:c>
      <x:c r="G161" s="10" t="n">
        <x:f>'Raw Data'!F161</x:f>
        <x:v>930</x:v>
      </x:c>
      <x:c r="H161" s="10" t="n">
        <x:f>'Raw Data'!G161</x:f>
        <x:v>4004</x:v>
      </x:c>
      <x:c r="I161" s="10" t="n">
        <x:f>'Raw Data'!H161</x:f>
        <x:v>1682</x:v>
      </x:c>
      <x:c r="J161" s="10" t="str">
        <x:f>VLOOKUP(B161,'Lookups &amp; Notes'!$A$4:$B$5,2,FALSE)</x:f>
        <x:v>Retail</x:v>
      </x:c>
      <x:c r="K161" s="10" t="str">
        <x:f>VLOOKUP(C161,'Lookups &amp; Notes'!$A$8:$B$10,2,FALSE)</x:f>
        <x:v>Other</x:v>
      </x:c>
      <x:c r="L161" s="10" t="n">
        <x:f>SUM(D161:I161)</x:f>
        <x:v>25665</x:v>
      </x:c>
      <x:c r="M161" s="39" t="n">
        <x:f>IFERROR(F161/L161,0)</x:f>
        <x:v>0.37475160724722384</x:v>
      </x:c>
      <x:c r="N161" s="38" t="str">
        <x:f>IF(L161&gt;='Lookups &amp; Notes'!$E$4,"High Value","Standard")</x:f>
        <x:v>Standard</x:v>
      </x:c>
    </x:row>
    <x:row r="162">
      <x:c r="A162" s="38" t="str">
        <x:v>CUST-160</x:v>
      </x:c>
      <x:c r="B162" s="38" t="n">
        <x:f>'Raw Data'!A162</x:f>
        <x:v>2</x:v>
      </x:c>
      <x:c r="C162" s="38" t="n">
        <x:f>'Raw Data'!B162</x:f>
        <x:v>3</x:v>
      </x:c>
      <x:c r="D162" s="10" t="n">
        <x:f>'Raw Data'!C162</x:f>
        <x:v>355</x:v>
      </x:c>
      <x:c r="E162" s="10" t="n">
        <x:f>'Raw Data'!D162</x:f>
        <x:v>7704</x:v>
      </x:c>
      <x:c r="F162" s="10" t="n">
        <x:f>'Raw Data'!E162</x:f>
        <x:v>14682</x:v>
      </x:c>
      <x:c r="G162" s="10" t="n">
        <x:f>'Raw Data'!F162</x:f>
        <x:v>398</x:v>
      </x:c>
      <x:c r="H162" s="10" t="n">
        <x:f>'Raw Data'!G162</x:f>
        <x:v>8077</x:v>
      </x:c>
      <x:c r="I162" s="10" t="n">
        <x:f>'Raw Data'!H162</x:f>
        <x:v>303</x:v>
      </x:c>
      <x:c r="J162" s="10" t="str">
        <x:f>VLOOKUP(B162,'Lookups &amp; Notes'!$A$4:$B$5,2,FALSE)</x:f>
        <x:v>Retail</x:v>
      </x:c>
      <x:c r="K162" s="10" t="str">
        <x:f>VLOOKUP(C162,'Lookups &amp; Notes'!$A$8:$B$10,2,FALSE)</x:f>
        <x:v>Other</x:v>
      </x:c>
      <x:c r="L162" s="10" t="n">
        <x:f>SUM(D162:I162)</x:f>
        <x:v>31519</x:v>
      </x:c>
      <x:c r="M162" s="39" t="n">
        <x:f>IFERROR(F162/L162,0)</x:f>
        <x:v>0.46581427075732096</x:v>
      </x:c>
      <x:c r="N162" s="38" t="str">
        <x:f>IF(L162&gt;='Lookups &amp; Notes'!$E$4,"High Value","Standard")</x:f>
        <x:v>High Value</x:v>
      </x:c>
    </x:row>
    <x:row r="163">
      <x:c r="A163" s="38" t="str">
        <x:v>CUST-161</x:v>
      </x:c>
      <x:c r="B163" s="38" t="n">
        <x:f>'Raw Data'!A163</x:f>
        <x:v>2</x:v>
      </x:c>
      <x:c r="C163" s="38" t="n">
        <x:f>'Raw Data'!B163</x:f>
        <x:v>3</x:v>
      </x:c>
      <x:c r="D163" s="10" t="n">
        <x:f>'Raw Data'!C163</x:f>
        <x:v>1725</x:v>
      </x:c>
      <x:c r="E163" s="10" t="n">
        <x:f>'Raw Data'!D163</x:f>
        <x:v>3651</x:v>
      </x:c>
      <x:c r="F163" s="10" t="n">
        <x:f>'Raw Data'!E163</x:f>
        <x:v>12822</x:v>
      </x:c>
      <x:c r="G163" s="10" t="n">
        <x:f>'Raw Data'!F163</x:f>
        <x:v>824</x:v>
      </x:c>
      <x:c r="H163" s="10" t="n">
        <x:f>'Raw Data'!G163</x:f>
        <x:v>4424</x:v>
      </x:c>
      <x:c r="I163" s="10" t="n">
        <x:f>'Raw Data'!H163</x:f>
        <x:v>2157</x:v>
      </x:c>
      <x:c r="J163" s="10" t="str">
        <x:f>VLOOKUP(B163,'Lookups &amp; Notes'!$A$4:$B$5,2,FALSE)</x:f>
        <x:v>Retail</x:v>
      </x:c>
      <x:c r="K163" s="10" t="str">
        <x:f>VLOOKUP(C163,'Lookups &amp; Notes'!$A$8:$B$10,2,FALSE)</x:f>
        <x:v>Other</x:v>
      </x:c>
      <x:c r="L163" s="10" t="n">
        <x:f>SUM(D163:I163)</x:f>
        <x:v>25603</x:v>
      </x:c>
      <x:c r="M163" s="39" t="n">
        <x:f>IFERROR(F163/L163,0)</x:f>
        <x:v>0.5008006874194431</x:v>
      </x:c>
      <x:c r="N163" s="38" t="str">
        <x:f>IF(L163&gt;='Lookups &amp; Notes'!$E$4,"High Value","Standard")</x:f>
        <x:v>Standard</x:v>
      </x:c>
    </x:row>
    <x:row r="164">
      <x:c r="A164" s="38" t="str">
        <x:v>CUST-162</x:v>
      </x:c>
      <x:c r="B164" s="38" t="n">
        <x:f>'Raw Data'!A164</x:f>
        <x:v>1</x:v>
      </x:c>
      <x:c r="C164" s="38" t="n">
        <x:f>'Raw Data'!B164</x:f>
        <x:v>3</x:v>
      </x:c>
      <x:c r="D164" s="10" t="n">
        <x:f>'Raw Data'!C164</x:f>
        <x:v>12434</x:v>
      </x:c>
      <x:c r="E164" s="10" t="n">
        <x:f>'Raw Data'!D164</x:f>
        <x:v>540</x:v>
      </x:c>
      <x:c r="F164" s="10" t="n">
        <x:f>'Raw Data'!E164</x:f>
        <x:v>283</x:v>
      </x:c>
      <x:c r="G164" s="10" t="n">
        <x:f>'Raw Data'!F164</x:f>
        <x:v>1092</x:v>
      </x:c>
      <x:c r="H164" s="10" t="n">
        <x:f>'Raw Data'!G164</x:f>
        <x:v>3</x:v>
      </x:c>
      <x:c r="I164" s="10" t="n">
        <x:f>'Raw Data'!H164</x:f>
        <x:v>2233</x:v>
      </x:c>
      <x:c r="J164" s="10" t="str">
        <x:f>VLOOKUP(B164,'Lookups &amp; Notes'!$A$4:$B$5,2,FALSE)</x:f>
        <x:v>Horeca</x:v>
      </x:c>
      <x:c r="K164" s="10" t="str">
        <x:f>VLOOKUP(C164,'Lookups &amp; Notes'!$A$8:$B$10,2,FALSE)</x:f>
        <x:v>Other</x:v>
      </x:c>
      <x:c r="L164" s="10" t="n">
        <x:f>SUM(D164:I164)</x:f>
        <x:v>16585</x:v>
      </x:c>
      <x:c r="M164" s="39" t="n">
        <x:f>IFERROR(F164/L164,0)</x:f>
        <x:v>0.017063611697316853</x:v>
      </x:c>
      <x:c r="N164" s="38" t="str">
        <x:f>IF(L164&gt;='Lookups &amp; Notes'!$E$4,"High Value","Standard")</x:f>
        <x:v>Standard</x:v>
      </x:c>
    </x:row>
    <x:row r="165">
      <x:c r="A165" s="38" t="str">
        <x:v>CUST-163</x:v>
      </x:c>
      <x:c r="B165" s="38" t="n">
        <x:f>'Raw Data'!A165</x:f>
        <x:v>1</x:v>
      </x:c>
      <x:c r="C165" s="38" t="n">
        <x:f>'Raw Data'!B165</x:f>
        <x:v>3</x:v>
      </x:c>
      <x:c r="D165" s="10" t="n">
        <x:f>'Raw Data'!C165</x:f>
        <x:v>15177</x:v>
      </x:c>
      <x:c r="E165" s="10" t="n">
        <x:f>'Raw Data'!D165</x:f>
        <x:v>2024</x:v>
      </x:c>
      <x:c r="F165" s="10" t="n">
        <x:f>'Raw Data'!E165</x:f>
        <x:v>3810</x:v>
      </x:c>
      <x:c r="G165" s="10" t="n">
        <x:f>'Raw Data'!F165</x:f>
        <x:v>2665</x:v>
      </x:c>
      <x:c r="H165" s="10" t="n">
        <x:f>'Raw Data'!G165</x:f>
        <x:v>232</x:v>
      </x:c>
      <x:c r="I165" s="10" t="n">
        <x:f>'Raw Data'!H165</x:f>
        <x:v>610</x:v>
      </x:c>
      <x:c r="J165" s="10" t="str">
        <x:f>VLOOKUP(B165,'Lookups &amp; Notes'!$A$4:$B$5,2,FALSE)</x:f>
        <x:v>Horeca</x:v>
      </x:c>
      <x:c r="K165" s="10" t="str">
        <x:f>VLOOKUP(C165,'Lookups &amp; Notes'!$A$8:$B$10,2,FALSE)</x:f>
        <x:v>Other</x:v>
      </x:c>
      <x:c r="L165" s="10" t="n">
        <x:f>SUM(D165:I165)</x:f>
        <x:v>24518</x:v>
      </x:c>
      <x:c r="M165" s="39" t="n">
        <x:f>IFERROR(F165/L165,0)</x:f>
        <x:v>0.15539603556570683</x:v>
      </x:c>
      <x:c r="N165" s="38" t="str">
        <x:f>IF(L165&gt;='Lookups &amp; Notes'!$E$4,"High Value","Standard")</x:f>
        <x:v>Standard</x:v>
      </x:c>
    </x:row>
    <x:row r="166">
      <x:c r="A166" s="38" t="str">
        <x:v>CUST-164</x:v>
      </x:c>
      <x:c r="B166" s="38" t="n">
        <x:f>'Raw Data'!A166</x:f>
        <x:v>2</x:v>
      </x:c>
      <x:c r="C166" s="38" t="n">
        <x:f>'Raw Data'!B166</x:f>
        <x:v>3</x:v>
      </x:c>
      <x:c r="D166" s="10" t="n">
        <x:f>'Raw Data'!C166</x:f>
        <x:v>5531</x:v>
      </x:c>
      <x:c r="E166" s="10" t="n">
        <x:f>'Raw Data'!D166</x:f>
        <x:v>15726</x:v>
      </x:c>
      <x:c r="F166" s="10" t="n">
        <x:f>'Raw Data'!E166</x:f>
        <x:v>26870</x:v>
      </x:c>
      <x:c r="G166" s="10" t="n">
        <x:f>'Raw Data'!F166</x:f>
        <x:v>2367</x:v>
      </x:c>
      <x:c r="H166" s="10" t="n">
        <x:f>'Raw Data'!G166</x:f>
        <x:v>13726</x:v>
      </x:c>
      <x:c r="I166" s="10" t="n">
        <x:f>'Raw Data'!H166</x:f>
        <x:v>446</x:v>
      </x:c>
      <x:c r="J166" s="10" t="str">
        <x:f>VLOOKUP(B166,'Lookups &amp; Notes'!$A$4:$B$5,2,FALSE)</x:f>
        <x:v>Retail</x:v>
      </x:c>
      <x:c r="K166" s="10" t="str">
        <x:f>VLOOKUP(C166,'Lookups &amp; Notes'!$A$8:$B$10,2,FALSE)</x:f>
        <x:v>Other</x:v>
      </x:c>
      <x:c r="L166" s="10" t="n">
        <x:f>SUM(D166:I166)</x:f>
        <x:v>64666</x:v>
      </x:c>
      <x:c r="M166" s="39" t="n">
        <x:f>IFERROR(F166/L166,0)</x:f>
        <x:v>0.4155197476262642</x:v>
      </x:c>
      <x:c r="N166" s="38" t="str">
        <x:f>IF(L166&gt;='Lookups &amp; Notes'!$E$4,"High Value","Standard")</x:f>
        <x:v>High Value</x:v>
      </x:c>
    </x:row>
    <x:row r="167">
      <x:c r="A167" s="38" t="str">
        <x:v>CUST-165</x:v>
      </x:c>
      <x:c r="B167" s="38" t="n">
        <x:f>'Raw Data'!A167</x:f>
        <x:v>2</x:v>
      </x:c>
      <x:c r="C167" s="38" t="n">
        <x:f>'Raw Data'!B167</x:f>
        <x:v>3</x:v>
      </x:c>
      <x:c r="D167" s="10" t="n">
        <x:f>'Raw Data'!C167</x:f>
        <x:v>5224</x:v>
      </x:c>
      <x:c r="E167" s="10" t="n">
        <x:f>'Raw Data'!D167</x:f>
        <x:v>7603</x:v>
      </x:c>
      <x:c r="F167" s="10" t="n">
        <x:f>'Raw Data'!E167</x:f>
        <x:v>8584</x:v>
      </x:c>
      <x:c r="G167" s="10" t="n">
        <x:f>'Raw Data'!F167</x:f>
        <x:v>2540</x:v>
      </x:c>
      <x:c r="H167" s="10" t="n">
        <x:f>'Raw Data'!G167</x:f>
        <x:v>3674</x:v>
      </x:c>
      <x:c r="I167" s="10" t="n">
        <x:f>'Raw Data'!H167</x:f>
        <x:v>238</x:v>
      </x:c>
      <x:c r="J167" s="10" t="str">
        <x:f>VLOOKUP(B167,'Lookups &amp; Notes'!$A$4:$B$5,2,FALSE)</x:f>
        <x:v>Retail</x:v>
      </x:c>
      <x:c r="K167" s="10" t="str">
        <x:f>VLOOKUP(C167,'Lookups &amp; Notes'!$A$8:$B$10,2,FALSE)</x:f>
        <x:v>Other</x:v>
      </x:c>
      <x:c r="L167" s="10" t="n">
        <x:f>SUM(D167:I167)</x:f>
        <x:v>27863</x:v>
      </x:c>
      <x:c r="M167" s="39" t="n">
        <x:f>IFERROR(F167/L167,0)</x:f>
        <x:v>0.3080788141980404</x:v>
      </x:c>
      <x:c r="N167" s="38" t="str">
        <x:f>IF(L167&gt;='Lookups &amp; Notes'!$E$4,"High Value","Standard")</x:f>
        <x:v>High Value</x:v>
      </x:c>
    </x:row>
    <x:row r="168">
      <x:c r="A168" s="38" t="str">
        <x:v>CUST-166</x:v>
      </x:c>
      <x:c r="B168" s="38" t="n">
        <x:f>'Raw Data'!A168</x:f>
        <x:v>2</x:v>
      </x:c>
      <x:c r="C168" s="38" t="n">
        <x:f>'Raw Data'!B168</x:f>
        <x:v>3</x:v>
      </x:c>
      <x:c r="D168" s="10" t="n">
        <x:f>'Raw Data'!C168</x:f>
        <x:v>15615</x:v>
      </x:c>
      <x:c r="E168" s="10" t="n">
        <x:f>'Raw Data'!D168</x:f>
        <x:v>12653</x:v>
      </x:c>
      <x:c r="F168" s="10" t="n">
        <x:f>'Raw Data'!E168</x:f>
        <x:v>19858</x:v>
      </x:c>
      <x:c r="G168" s="10" t="n">
        <x:f>'Raw Data'!F168</x:f>
        <x:v>4425</x:v>
      </x:c>
      <x:c r="H168" s="10" t="n">
        <x:f>'Raw Data'!G168</x:f>
        <x:v>7108</x:v>
      </x:c>
      <x:c r="I168" s="10" t="n">
        <x:f>'Raw Data'!H168</x:f>
        <x:v>2379</x:v>
      </x:c>
      <x:c r="J168" s="10" t="str">
        <x:f>VLOOKUP(B168,'Lookups &amp; Notes'!$A$4:$B$5,2,FALSE)</x:f>
        <x:v>Retail</x:v>
      </x:c>
      <x:c r="K168" s="10" t="str">
        <x:f>VLOOKUP(C168,'Lookups &amp; Notes'!$A$8:$B$10,2,FALSE)</x:f>
        <x:v>Other</x:v>
      </x:c>
      <x:c r="L168" s="10" t="n">
        <x:f>SUM(D168:I168)</x:f>
        <x:v>62038</x:v>
      </x:c>
      <x:c r="M168" s="39" t="n">
        <x:f>IFERROR(F168/L168,0)</x:f>
        <x:v>0.32009413585221963</x:v>
      </x:c>
      <x:c r="N168" s="38" t="str">
        <x:f>IF(L168&gt;='Lookups &amp; Notes'!$E$4,"High Value","Standard")</x:f>
        <x:v>High Value</x:v>
      </x:c>
    </x:row>
    <x:row r="169">
      <x:c r="A169" s="38" t="str">
        <x:v>CUST-167</x:v>
      </x:c>
      <x:c r="B169" s="38" t="n">
        <x:f>'Raw Data'!A169</x:f>
        <x:v>2</x:v>
      </x:c>
      <x:c r="C169" s="38" t="n">
        <x:f>'Raw Data'!B169</x:f>
        <x:v>3</x:v>
      </x:c>
      <x:c r="D169" s="10" t="n">
        <x:f>'Raw Data'!C169</x:f>
        <x:v>4822</x:v>
      </x:c>
      <x:c r="E169" s="10" t="n">
        <x:f>'Raw Data'!D169</x:f>
        <x:v>6721</x:v>
      </x:c>
      <x:c r="F169" s="10" t="n">
        <x:f>'Raw Data'!E169</x:f>
        <x:v>9170</x:v>
      </x:c>
      <x:c r="G169" s="10" t="n">
        <x:f>'Raw Data'!F169</x:f>
        <x:v>993</x:v>
      </x:c>
      <x:c r="H169" s="10" t="n">
        <x:f>'Raw Data'!G169</x:f>
        <x:v>4973</x:v>
      </x:c>
      <x:c r="I169" s="10" t="n">
        <x:f>'Raw Data'!H169</x:f>
        <x:v>3637</x:v>
      </x:c>
      <x:c r="J169" s="10" t="str">
        <x:f>VLOOKUP(B169,'Lookups &amp; Notes'!$A$4:$B$5,2,FALSE)</x:f>
        <x:v>Retail</x:v>
      </x:c>
      <x:c r="K169" s="10" t="str">
        <x:f>VLOOKUP(C169,'Lookups &amp; Notes'!$A$8:$B$10,2,FALSE)</x:f>
        <x:v>Other</x:v>
      </x:c>
      <x:c r="L169" s="10" t="n">
        <x:f>SUM(D169:I169)</x:f>
        <x:v>30316</x:v>
      </x:c>
      <x:c r="M169" s="39" t="n">
        <x:f>IFERROR(F169/L169,0)</x:f>
        <x:v>0.30248053832959493</x:v>
      </x:c>
      <x:c r="N169" s="38" t="str">
        <x:f>IF(L169&gt;='Lookups &amp; Notes'!$E$4,"High Value","Standard")</x:f>
        <x:v>High Value</x:v>
      </x:c>
    </x:row>
    <x:row r="170">
      <x:c r="A170" s="38" t="str">
        <x:v>CUST-168</x:v>
      </x:c>
      <x:c r="B170" s="38" t="n">
        <x:f>'Raw Data'!A170</x:f>
        <x:v>1</x:v>
      </x:c>
      <x:c r="C170" s="38" t="n">
        <x:f>'Raw Data'!B170</x:f>
        <x:v>3</x:v>
      </x:c>
      <x:c r="D170" s="10" t="n">
        <x:f>'Raw Data'!C170</x:f>
        <x:v>2926</x:v>
      </x:c>
      <x:c r="E170" s="10" t="n">
        <x:f>'Raw Data'!D170</x:f>
        <x:v>3195</x:v>
      </x:c>
      <x:c r="F170" s="10" t="n">
        <x:f>'Raw Data'!E170</x:f>
        <x:v>3268</x:v>
      </x:c>
      <x:c r="G170" s="10" t="n">
        <x:f>'Raw Data'!F170</x:f>
        <x:v>405</x:v>
      </x:c>
      <x:c r="H170" s="10" t="n">
        <x:f>'Raw Data'!G170</x:f>
        <x:v>1680</x:v>
      </x:c>
      <x:c r="I170" s="10" t="n">
        <x:f>'Raw Data'!H170</x:f>
        <x:v>693</x:v>
      </x:c>
      <x:c r="J170" s="10" t="str">
        <x:f>VLOOKUP(B170,'Lookups &amp; Notes'!$A$4:$B$5,2,FALSE)</x:f>
        <x:v>Horeca</x:v>
      </x:c>
      <x:c r="K170" s="10" t="str">
        <x:f>VLOOKUP(C170,'Lookups &amp; Notes'!$A$8:$B$10,2,FALSE)</x:f>
        <x:v>Other</x:v>
      </x:c>
      <x:c r="L170" s="10" t="n">
        <x:f>SUM(D170:I170)</x:f>
        <x:v>12167</x:v>
      </x:c>
      <x:c r="M170" s="39" t="n">
        <x:f>IFERROR(F170/L170,0)</x:f>
        <x:v>0.2685953809484672</x:v>
      </x:c>
      <x:c r="N170" s="38" t="str">
        <x:f>IF(L170&gt;='Lookups &amp; Notes'!$E$4,"High Value","Standard")</x:f>
        <x:v>Standard</x:v>
      </x:c>
    </x:row>
    <x:row r="171">
      <x:c r="A171" s="38" t="str">
        <x:v>CUST-169</x:v>
      </x:c>
      <x:c r="B171" s="38" t="n">
        <x:f>'Raw Data'!A171</x:f>
        <x:v>1</x:v>
      </x:c>
      <x:c r="C171" s="38" t="n">
        <x:f>'Raw Data'!B171</x:f>
        <x:v>3</x:v>
      </x:c>
      <x:c r="D171" s="10" t="n">
        <x:f>'Raw Data'!C171</x:f>
        <x:v>5809</x:v>
      </x:c>
      <x:c r="E171" s="10" t="n">
        <x:f>'Raw Data'!D171</x:f>
        <x:v>735</x:v>
      </x:c>
      <x:c r="F171" s="10" t="n">
        <x:f>'Raw Data'!E171</x:f>
        <x:v>803</x:v>
      </x:c>
      <x:c r="G171" s="10" t="n">
        <x:f>'Raw Data'!F171</x:f>
        <x:v>1393</x:v>
      </x:c>
      <x:c r="H171" s="10" t="n">
        <x:f>'Raw Data'!G171</x:f>
        <x:v>79</x:v>
      </x:c>
      <x:c r="I171" s="10" t="n">
        <x:f>'Raw Data'!H171</x:f>
        <x:v>429</x:v>
      </x:c>
      <x:c r="J171" s="10" t="str">
        <x:f>VLOOKUP(B171,'Lookups &amp; Notes'!$A$4:$B$5,2,FALSE)</x:f>
        <x:v>Horeca</x:v>
      </x:c>
      <x:c r="K171" s="10" t="str">
        <x:f>VLOOKUP(C171,'Lookups &amp; Notes'!$A$8:$B$10,2,FALSE)</x:f>
        <x:v>Other</x:v>
      </x:c>
      <x:c r="L171" s="10" t="n">
        <x:f>SUM(D171:I171)</x:f>
        <x:v>9248</x:v>
      </x:c>
      <x:c r="M171" s="39" t="n">
        <x:f>IFERROR(F171/L171,0)</x:f>
        <x:v>0.08682958477508651</x:v>
      </x:c>
      <x:c r="N171" s="38" t="str">
        <x:f>IF(L171&gt;='Lookups &amp; Notes'!$E$4,"High Value","Standard")</x:f>
        <x:v>Standard</x:v>
      </x:c>
    </x:row>
    <x:row r="172">
      <x:c r="A172" s="38" t="str">
        <x:v>CUST-170</x:v>
      </x:c>
      <x:c r="B172" s="38" t="n">
        <x:f>'Raw Data'!A172</x:f>
        <x:v>1</x:v>
      </x:c>
      <x:c r="C172" s="38" t="n">
        <x:f>'Raw Data'!B172</x:f>
        <x:v>3</x:v>
      </x:c>
      <x:c r="D172" s="10" t="n">
        <x:f>'Raw Data'!C172</x:f>
        <x:v>5414</x:v>
      </x:c>
      <x:c r="E172" s="10" t="n">
        <x:f>'Raw Data'!D172</x:f>
        <x:v>717</x:v>
      </x:c>
      <x:c r="F172" s="10" t="n">
        <x:f>'Raw Data'!E172</x:f>
        <x:v>2155</x:v>
      </x:c>
      <x:c r="G172" s="10" t="n">
        <x:f>'Raw Data'!F172</x:f>
        <x:v>2399</x:v>
      </x:c>
      <x:c r="H172" s="10" t="n">
        <x:f>'Raw Data'!G172</x:f>
        <x:v>69</x:v>
      </x:c>
      <x:c r="I172" s="10" t="n">
        <x:f>'Raw Data'!H172</x:f>
        <x:v>750</x:v>
      </x:c>
      <x:c r="J172" s="10" t="str">
        <x:f>VLOOKUP(B172,'Lookups &amp; Notes'!$A$4:$B$5,2,FALSE)</x:f>
        <x:v>Horeca</x:v>
      </x:c>
      <x:c r="K172" s="10" t="str">
        <x:f>VLOOKUP(C172,'Lookups &amp; Notes'!$A$8:$B$10,2,FALSE)</x:f>
        <x:v>Other</x:v>
      </x:c>
      <x:c r="L172" s="10" t="n">
        <x:f>SUM(D172:I172)</x:f>
        <x:v>11504</x:v>
      </x:c>
      <x:c r="M172" s="39" t="n">
        <x:f>IFERROR(F172/L172,0)</x:f>
        <x:v>0.18732614742698192</x:v>
      </x:c>
      <x:c r="N172" s="38" t="str">
        <x:f>IF(L172&gt;='Lookups &amp; Notes'!$E$4,"High Value","Standard")</x:f>
        <x:v>Standard</x:v>
      </x:c>
    </x:row>
    <x:row r="173">
      <x:c r="A173" s="38" t="str">
        <x:v>CUST-171</x:v>
      </x:c>
      <x:c r="B173" s="38" t="n">
        <x:f>'Raw Data'!A173</x:f>
        <x:v>2</x:v>
      </x:c>
      <x:c r="C173" s="38" t="n">
        <x:f>'Raw Data'!B173</x:f>
        <x:v>3</x:v>
      </x:c>
      <x:c r="D173" s="10" t="n">
        <x:f>'Raw Data'!C173</x:f>
        <x:v>260</x:v>
      </x:c>
      <x:c r="E173" s="10" t="n">
        <x:f>'Raw Data'!D173</x:f>
        <x:v>8675</x:v>
      </x:c>
      <x:c r="F173" s="10" t="n">
        <x:f>'Raw Data'!E173</x:f>
        <x:v>13430</x:v>
      </x:c>
      <x:c r="G173" s="10" t="n">
        <x:f>'Raw Data'!F173</x:f>
        <x:v>1116</x:v>
      </x:c>
      <x:c r="H173" s="10" t="n">
        <x:f>'Raw Data'!G173</x:f>
        <x:v>7015</x:v>
      </x:c>
      <x:c r="I173" s="10" t="n">
        <x:f>'Raw Data'!H173</x:f>
        <x:v>323</x:v>
      </x:c>
      <x:c r="J173" s="10" t="str">
        <x:f>VLOOKUP(B173,'Lookups &amp; Notes'!$A$4:$B$5,2,FALSE)</x:f>
        <x:v>Retail</x:v>
      </x:c>
      <x:c r="K173" s="10" t="str">
        <x:f>VLOOKUP(C173,'Lookups &amp; Notes'!$A$8:$B$10,2,FALSE)</x:f>
        <x:v>Other</x:v>
      </x:c>
      <x:c r="L173" s="10" t="n">
        <x:f>SUM(D173:I173)</x:f>
        <x:v>30819</x:v>
      </x:c>
      <x:c r="M173" s="39" t="n">
        <x:f>IFERROR(F173/L173,0)</x:f>
        <x:v>0.43577014179564555</x:v>
      </x:c>
      <x:c r="N173" s="38" t="str">
        <x:f>IF(L173&gt;='Lookups &amp; Notes'!$E$4,"High Value","Standard")</x:f>
        <x:v>High Value</x:v>
      </x:c>
    </x:row>
    <x:row r="174">
      <x:c r="A174" s="38" t="str">
        <x:v>CUST-172</x:v>
      </x:c>
      <x:c r="B174" s="38" t="n">
        <x:f>'Raw Data'!A174</x:f>
        <x:v>2</x:v>
      </x:c>
      <x:c r="C174" s="38" t="n">
        <x:f>'Raw Data'!B174</x:f>
        <x:v>3</x:v>
      </x:c>
      <x:c r="D174" s="10" t="n">
        <x:f>'Raw Data'!C174</x:f>
        <x:v>200</x:v>
      </x:c>
      <x:c r="E174" s="10" t="n">
        <x:f>'Raw Data'!D174</x:f>
        <x:v>25862</x:v>
      </x:c>
      <x:c r="F174" s="10" t="n">
        <x:f>'Raw Data'!E174</x:f>
        <x:v>19816</x:v>
      </x:c>
      <x:c r="G174" s="10" t="n">
        <x:f>'Raw Data'!F174</x:f>
        <x:v>651</x:v>
      </x:c>
      <x:c r="H174" s="10" t="n">
        <x:f>'Raw Data'!G174</x:f>
        <x:v>8773</x:v>
      </x:c>
      <x:c r="I174" s="10" t="n">
        <x:f>'Raw Data'!H174</x:f>
        <x:v>6250</x:v>
      </x:c>
      <x:c r="J174" s="10" t="str">
        <x:f>VLOOKUP(B174,'Lookups &amp; Notes'!$A$4:$B$5,2,FALSE)</x:f>
        <x:v>Retail</x:v>
      </x:c>
      <x:c r="K174" s="10" t="str">
        <x:f>VLOOKUP(C174,'Lookups &amp; Notes'!$A$8:$B$10,2,FALSE)</x:f>
        <x:v>Other</x:v>
      </x:c>
      <x:c r="L174" s="10" t="n">
        <x:f>SUM(D174:I174)</x:f>
        <x:v>61552</x:v>
      </x:c>
      <x:c r="M174" s="39" t="n">
        <x:f>IFERROR(F174/L174,0)</x:f>
        <x:v>0.321939173381856</x:v>
      </x:c>
      <x:c r="N174" s="38" t="str">
        <x:f>IF(L174&gt;='Lookups &amp; Notes'!$E$4,"High Value","Standard")</x:f>
        <x:v>High Value</x:v>
      </x:c>
    </x:row>
    <x:row r="175">
      <x:c r="A175" s="38" t="str">
        <x:v>CUST-173</x:v>
      </x:c>
      <x:c r="B175" s="38" t="n">
        <x:f>'Raw Data'!A175</x:f>
        <x:v>1</x:v>
      </x:c>
      <x:c r="C175" s="38" t="n">
        <x:f>'Raw Data'!B175</x:f>
        <x:v>3</x:v>
      </x:c>
      <x:c r="D175" s="10" t="n">
        <x:f>'Raw Data'!C175</x:f>
        <x:v>955</x:v>
      </x:c>
      <x:c r="E175" s="10" t="n">
        <x:f>'Raw Data'!D175</x:f>
        <x:v>5479</x:v>
      </x:c>
      <x:c r="F175" s="10" t="n">
        <x:f>'Raw Data'!E175</x:f>
        <x:v>6536</x:v>
      </x:c>
      <x:c r="G175" s="10" t="n">
        <x:f>'Raw Data'!F175</x:f>
        <x:v>333</x:v>
      </x:c>
      <x:c r="H175" s="10" t="n">
        <x:f>'Raw Data'!G175</x:f>
        <x:v>2840</x:v>
      </x:c>
      <x:c r="I175" s="10" t="n">
        <x:f>'Raw Data'!H175</x:f>
        <x:v>707</x:v>
      </x:c>
      <x:c r="J175" s="10" t="str">
        <x:f>VLOOKUP(B175,'Lookups &amp; Notes'!$A$4:$B$5,2,FALSE)</x:f>
        <x:v>Horeca</x:v>
      </x:c>
      <x:c r="K175" s="10" t="str">
        <x:f>VLOOKUP(C175,'Lookups &amp; Notes'!$A$8:$B$10,2,FALSE)</x:f>
        <x:v>Other</x:v>
      </x:c>
      <x:c r="L175" s="10" t="n">
        <x:f>SUM(D175:I175)</x:f>
        <x:v>16850</x:v>
      </x:c>
      <x:c r="M175" s="39" t="n">
        <x:f>IFERROR(F175/L175,0)</x:f>
        <x:v>0.38789317507418397</x:v>
      </x:c>
      <x:c r="N175" s="38" t="str">
        <x:f>IF(L175&gt;='Lookups &amp; Notes'!$E$4,"High Value","Standard")</x:f>
        <x:v>Standard</x:v>
      </x:c>
    </x:row>
    <x:row r="176">
      <x:c r="A176" s="38" t="str">
        <x:v>CUST-174</x:v>
      </x:c>
      <x:c r="B176" s="38" t="n">
        <x:f>'Raw Data'!A176</x:f>
        <x:v>2</x:v>
      </x:c>
      <x:c r="C176" s="38" t="n">
        <x:f>'Raw Data'!B176</x:f>
        <x:v>3</x:v>
      </x:c>
      <x:c r="D176" s="10" t="n">
        <x:f>'Raw Data'!C176</x:f>
        <x:v>514</x:v>
      </x:c>
      <x:c r="E176" s="10" t="n">
        <x:f>'Raw Data'!D176</x:f>
        <x:v>7677</x:v>
      </x:c>
      <x:c r="F176" s="10" t="n">
        <x:f>'Raw Data'!E176</x:f>
        <x:v>19805</x:v>
      </x:c>
      <x:c r="G176" s="10" t="n">
        <x:f>'Raw Data'!F176</x:f>
        <x:v>937</x:v>
      </x:c>
      <x:c r="H176" s="10" t="n">
        <x:f>'Raw Data'!G176</x:f>
        <x:v>9836</x:v>
      </x:c>
      <x:c r="I176" s="10" t="n">
        <x:f>'Raw Data'!H176</x:f>
        <x:v>716</x:v>
      </x:c>
      <x:c r="J176" s="10" t="str">
        <x:f>VLOOKUP(B176,'Lookups &amp; Notes'!$A$4:$B$5,2,FALSE)</x:f>
        <x:v>Retail</x:v>
      </x:c>
      <x:c r="K176" s="10" t="str">
        <x:f>VLOOKUP(C176,'Lookups &amp; Notes'!$A$8:$B$10,2,FALSE)</x:f>
        <x:v>Other</x:v>
      </x:c>
      <x:c r="L176" s="10" t="n">
        <x:f>SUM(D176:I176)</x:f>
        <x:v>39485</x:v>
      </x:c>
      <x:c r="M176" s="39" t="n">
        <x:f>IFERROR(F176/L176,0)</x:f>
        <x:v>0.501582879574522</x:v>
      </x:c>
      <x:c r="N176" s="38" t="str">
        <x:f>IF(L176&gt;='Lookups &amp; Notes'!$E$4,"High Value","Standard")</x:f>
        <x:v>High Value</x:v>
      </x:c>
    </x:row>
    <x:row r="177">
      <x:c r="A177" s="38" t="str">
        <x:v>CUST-175</x:v>
      </x:c>
      <x:c r="B177" s="38" t="n">
        <x:f>'Raw Data'!A177</x:f>
        <x:v>1</x:v>
      </x:c>
      <x:c r="C177" s="38" t="n">
        <x:f>'Raw Data'!B177</x:f>
        <x:v>3</x:v>
      </x:c>
      <x:c r="D177" s="10" t="n">
        <x:f>'Raw Data'!C177</x:f>
        <x:v>286</x:v>
      </x:c>
      <x:c r="E177" s="10" t="n">
        <x:f>'Raw Data'!D177</x:f>
        <x:v>1208</x:v>
      </x:c>
      <x:c r="F177" s="10" t="n">
        <x:f>'Raw Data'!E177</x:f>
        <x:v>5241</x:v>
      </x:c>
      <x:c r="G177" s="10" t="n">
        <x:f>'Raw Data'!F177</x:f>
        <x:v>2515</x:v>
      </x:c>
      <x:c r="H177" s="10" t="n">
        <x:f>'Raw Data'!G177</x:f>
        <x:v>153</x:v>
      </x:c>
      <x:c r="I177" s="10" t="n">
        <x:f>'Raw Data'!H177</x:f>
        <x:v>1442</x:v>
      </x:c>
      <x:c r="J177" s="10" t="str">
        <x:f>VLOOKUP(B177,'Lookups &amp; Notes'!$A$4:$B$5,2,FALSE)</x:f>
        <x:v>Horeca</x:v>
      </x:c>
      <x:c r="K177" s="10" t="str">
        <x:f>VLOOKUP(C177,'Lookups &amp; Notes'!$A$8:$B$10,2,FALSE)</x:f>
        <x:v>Other</x:v>
      </x:c>
      <x:c r="L177" s="10" t="n">
        <x:f>SUM(D177:I177)</x:f>
        <x:v>10845</x:v>
      </x:c>
      <x:c r="M177" s="39" t="n">
        <x:f>IFERROR(F177/L177,0)</x:f>
        <x:v>0.48326417704011065</x:v>
      </x:c>
      <x:c r="N177" s="38" t="str">
        <x:f>IF(L177&gt;='Lookups &amp; Notes'!$E$4,"High Value","Standard")</x:f>
        <x:v>Standard</x:v>
      </x:c>
    </x:row>
    <x:row r="178">
      <x:c r="A178" s="38" t="str">
        <x:v>CUST-176</x:v>
      </x:c>
      <x:c r="B178" s="38" t="n">
        <x:f>'Raw Data'!A178</x:f>
        <x:v>2</x:v>
      </x:c>
      <x:c r="C178" s="38" t="n">
        <x:f>'Raw Data'!B178</x:f>
        <x:v>3</x:v>
      </x:c>
      <x:c r="D178" s="10" t="n">
        <x:f>'Raw Data'!C178</x:f>
        <x:v>2343</x:v>
      </x:c>
      <x:c r="E178" s="10" t="n">
        <x:f>'Raw Data'!D178</x:f>
        <x:v>7845</x:v>
      </x:c>
      <x:c r="F178" s="10" t="n">
        <x:f>'Raw Data'!E178</x:f>
        <x:v>11874</x:v>
      </x:c>
      <x:c r="G178" s="10" t="n">
        <x:f>'Raw Data'!F178</x:f>
        <x:v>52</x:v>
      </x:c>
      <x:c r="H178" s="10" t="n">
        <x:f>'Raw Data'!G178</x:f>
        <x:v>4196</x:v>
      </x:c>
      <x:c r="I178" s="10" t="n">
        <x:f>'Raw Data'!H178</x:f>
        <x:v>1697</x:v>
      </x:c>
      <x:c r="J178" s="10" t="str">
        <x:f>VLOOKUP(B178,'Lookups &amp; Notes'!$A$4:$B$5,2,FALSE)</x:f>
        <x:v>Retail</x:v>
      </x:c>
      <x:c r="K178" s="10" t="str">
        <x:f>VLOOKUP(C178,'Lookups &amp; Notes'!$A$8:$B$10,2,FALSE)</x:f>
        <x:v>Other</x:v>
      </x:c>
      <x:c r="L178" s="10" t="n">
        <x:f>SUM(D178:I178)</x:f>
        <x:v>28007</x:v>
      </x:c>
      <x:c r="M178" s="39" t="n">
        <x:f>IFERROR(F178/L178,0)</x:f>
        <x:v>0.42396543721212554</x:v>
      </x:c>
      <x:c r="N178" s="38" t="str">
        <x:f>IF(L178&gt;='Lookups &amp; Notes'!$E$4,"High Value","Standard")</x:f>
        <x:v>High Value</x:v>
      </x:c>
    </x:row>
    <x:row r="179">
      <x:c r="A179" s="38" t="str">
        <x:v>CUST-177</x:v>
      </x:c>
      <x:c r="B179" s="38" t="n">
        <x:f>'Raw Data'!A179</x:f>
        <x:v>1</x:v>
      </x:c>
      <x:c r="C179" s="38" t="n">
        <x:f>'Raw Data'!B179</x:f>
        <x:v>3</x:v>
      </x:c>
      <x:c r="D179" s="10" t="n">
        <x:f>'Raw Data'!C179</x:f>
        <x:v>45640</x:v>
      </x:c>
      <x:c r="E179" s="10" t="n">
        <x:f>'Raw Data'!D179</x:f>
        <x:v>6958</x:v>
      </x:c>
      <x:c r="F179" s="10" t="n">
        <x:f>'Raw Data'!E179</x:f>
        <x:v>6536</x:v>
      </x:c>
      <x:c r="G179" s="10" t="n">
        <x:f>'Raw Data'!F179</x:f>
        <x:v>7368</x:v>
      </x:c>
      <x:c r="H179" s="10" t="n">
        <x:f>'Raw Data'!G179</x:f>
        <x:v>1532</x:v>
      </x:c>
      <x:c r="I179" s="10" t="n">
        <x:f>'Raw Data'!H179</x:f>
        <x:v>230</x:v>
      </x:c>
      <x:c r="J179" s="10" t="str">
        <x:f>VLOOKUP(B179,'Lookups &amp; Notes'!$A$4:$B$5,2,FALSE)</x:f>
        <x:v>Horeca</x:v>
      </x:c>
      <x:c r="K179" s="10" t="str">
        <x:f>VLOOKUP(C179,'Lookups &amp; Notes'!$A$8:$B$10,2,FALSE)</x:f>
        <x:v>Other</x:v>
      </x:c>
      <x:c r="L179" s="10" t="n">
        <x:f>SUM(D179:I179)</x:f>
        <x:v>68264</x:v>
      </x:c>
      <x:c r="M179" s="39" t="n">
        <x:f>IFERROR(F179/L179,0)</x:f>
        <x:v>0.09574592757529592</x:v>
      </x:c>
      <x:c r="N179" s="38" t="str">
        <x:f>IF(L179&gt;='Lookups &amp; Notes'!$E$4,"High Value","Standard")</x:f>
        <x:v>High Value</x:v>
      </x:c>
    </x:row>
    <x:row r="180">
      <x:c r="A180" s="38" t="str">
        <x:v>CUST-178</x:v>
      </x:c>
      <x:c r="B180" s="38" t="n">
        <x:f>'Raw Data'!A180</x:f>
        <x:v>1</x:v>
      </x:c>
      <x:c r="C180" s="38" t="n">
        <x:f>'Raw Data'!B180</x:f>
        <x:v>3</x:v>
      </x:c>
      <x:c r="D180" s="10" t="n">
        <x:f>'Raw Data'!C180</x:f>
        <x:v>12759</x:v>
      </x:c>
      <x:c r="E180" s="10" t="n">
        <x:f>'Raw Data'!D180</x:f>
        <x:v>7330</x:v>
      </x:c>
      <x:c r="F180" s="10" t="n">
        <x:f>'Raw Data'!E180</x:f>
        <x:v>4533</x:v>
      </x:c>
      <x:c r="G180" s="10" t="n">
        <x:f>'Raw Data'!F180</x:f>
        <x:v>1752</x:v>
      </x:c>
      <x:c r="H180" s="10" t="n">
        <x:f>'Raw Data'!G180</x:f>
        <x:v>20</x:v>
      </x:c>
      <x:c r="I180" s="10" t="n">
        <x:f>'Raw Data'!H180</x:f>
        <x:v>2631</x:v>
      </x:c>
      <x:c r="J180" s="10" t="str">
        <x:f>VLOOKUP(B180,'Lookups &amp; Notes'!$A$4:$B$5,2,FALSE)</x:f>
        <x:v>Horeca</x:v>
      </x:c>
      <x:c r="K180" s="10" t="str">
        <x:f>VLOOKUP(C180,'Lookups &amp; Notes'!$A$8:$B$10,2,FALSE)</x:f>
        <x:v>Other</x:v>
      </x:c>
      <x:c r="L180" s="10" t="n">
        <x:f>SUM(D180:I180)</x:f>
        <x:v>29025</x:v>
      </x:c>
      <x:c r="M180" s="39" t="n">
        <x:f>IFERROR(F180/L180,0)</x:f>
        <x:v>0.15617571059431526</x:v>
      </x:c>
      <x:c r="N180" s="38" t="str">
        <x:f>IF(L180&gt;='Lookups &amp; Notes'!$E$4,"High Value","Standard")</x:f>
        <x:v>High Value</x:v>
      </x:c>
    </x:row>
    <x:row r="181">
      <x:c r="A181" s="38" t="str">
        <x:v>CUST-179</x:v>
      </x:c>
      <x:c r="B181" s="38" t="n">
        <x:f>'Raw Data'!A181</x:f>
        <x:v>1</x:v>
      </x:c>
      <x:c r="C181" s="38" t="n">
        <x:f>'Raw Data'!B181</x:f>
        <x:v>3</x:v>
      </x:c>
      <x:c r="D181" s="10" t="n">
        <x:f>'Raw Data'!C181</x:f>
        <x:v>11002</x:v>
      </x:c>
      <x:c r="E181" s="10" t="n">
        <x:f>'Raw Data'!D181</x:f>
        <x:v>7075</x:v>
      </x:c>
      <x:c r="F181" s="10" t="n">
        <x:f>'Raw Data'!E181</x:f>
        <x:v>4945</x:v>
      </x:c>
      <x:c r="G181" s="10" t="n">
        <x:f>'Raw Data'!F181</x:f>
        <x:v>1152</x:v>
      </x:c>
      <x:c r="H181" s="10" t="n">
        <x:f>'Raw Data'!G181</x:f>
        <x:v>120</x:v>
      </x:c>
      <x:c r="I181" s="10" t="n">
        <x:f>'Raw Data'!H181</x:f>
        <x:v>395</x:v>
      </x:c>
      <x:c r="J181" s="10" t="str">
        <x:f>VLOOKUP(B181,'Lookups &amp; Notes'!$A$4:$B$5,2,FALSE)</x:f>
        <x:v>Horeca</x:v>
      </x:c>
      <x:c r="K181" s="10" t="str">
        <x:f>VLOOKUP(C181,'Lookups &amp; Notes'!$A$8:$B$10,2,FALSE)</x:f>
        <x:v>Other</x:v>
      </x:c>
      <x:c r="L181" s="10" t="n">
        <x:f>SUM(D181:I181)</x:f>
        <x:v>24689</x:v>
      </x:c>
      <x:c r="M181" s="39" t="n">
        <x:f>IFERROR(F181/L181,0)</x:f>
        <x:v>0.20029162785045973</x:v>
      </x:c>
      <x:c r="N181" s="38" t="str">
        <x:f>IF(L181&gt;='Lookups &amp; Notes'!$E$4,"High Value","Standard")</x:f>
        <x:v>Standard</x:v>
      </x:c>
    </x:row>
    <x:row r="182">
      <x:c r="A182" s="38" t="str">
        <x:v>CUST-180</x:v>
      </x:c>
      <x:c r="B182" s="38" t="n">
        <x:f>'Raw Data'!A182</x:f>
        <x:v>1</x:v>
      </x:c>
      <x:c r="C182" s="38" t="n">
        <x:f>'Raw Data'!B182</x:f>
        <x:v>3</x:v>
      </x:c>
      <x:c r="D182" s="10" t="n">
        <x:f>'Raw Data'!C182</x:f>
        <x:v>3157</x:v>
      </x:c>
      <x:c r="E182" s="10" t="n">
        <x:f>'Raw Data'!D182</x:f>
        <x:v>4888</x:v>
      </x:c>
      <x:c r="F182" s="10" t="n">
        <x:f>'Raw Data'!E182</x:f>
        <x:v>2500</x:v>
      </x:c>
      <x:c r="G182" s="10" t="n">
        <x:f>'Raw Data'!F182</x:f>
        <x:v>4477</x:v>
      </x:c>
      <x:c r="H182" s="10" t="n">
        <x:f>'Raw Data'!G182</x:f>
        <x:v>273</x:v>
      </x:c>
      <x:c r="I182" s="10" t="n">
        <x:f>'Raw Data'!H182</x:f>
        <x:v>2165</x:v>
      </x:c>
      <x:c r="J182" s="10" t="str">
        <x:f>VLOOKUP(B182,'Lookups &amp; Notes'!$A$4:$B$5,2,FALSE)</x:f>
        <x:v>Horeca</x:v>
      </x:c>
      <x:c r="K182" s="10" t="str">
        <x:f>VLOOKUP(C182,'Lookups &amp; Notes'!$A$8:$B$10,2,FALSE)</x:f>
        <x:v>Other</x:v>
      </x:c>
      <x:c r="L182" s="10" t="n">
        <x:f>SUM(D182:I182)</x:f>
        <x:v>17460</x:v>
      </x:c>
      <x:c r="M182" s="39" t="n">
        <x:f>IFERROR(F182/L182,0)</x:f>
        <x:v>0.143184421534937</x:v>
      </x:c>
      <x:c r="N182" s="38" t="str">
        <x:f>IF(L182&gt;='Lookups &amp; Notes'!$E$4,"High Value","Standard")</x:f>
        <x:v>Standard</x:v>
      </x:c>
    </x:row>
    <x:row r="183">
      <x:c r="A183" s="38" t="str">
        <x:v>CUST-181</x:v>
      </x:c>
      <x:c r="B183" s="38" t="n">
        <x:f>'Raw Data'!A183</x:f>
        <x:v>1</x:v>
      </x:c>
      <x:c r="C183" s="38" t="n">
        <x:f>'Raw Data'!B183</x:f>
        <x:v>3</x:v>
      </x:c>
      <x:c r="D183" s="10" t="n">
        <x:f>'Raw Data'!C183</x:f>
        <x:v>12356</x:v>
      </x:c>
      <x:c r="E183" s="10" t="n">
        <x:f>'Raw Data'!D183</x:f>
        <x:v>6036</x:v>
      </x:c>
      <x:c r="F183" s="10" t="n">
        <x:f>'Raw Data'!E183</x:f>
        <x:v>8887</x:v>
      </x:c>
      <x:c r="G183" s="10" t="n">
        <x:f>'Raw Data'!F183</x:f>
        <x:v>402</x:v>
      </x:c>
      <x:c r="H183" s="10" t="n">
        <x:f>'Raw Data'!G183</x:f>
        <x:v>1382</x:v>
      </x:c>
      <x:c r="I183" s="10" t="n">
        <x:f>'Raw Data'!H183</x:f>
        <x:v>2794</x:v>
      </x:c>
      <x:c r="J183" s="10" t="str">
        <x:f>VLOOKUP(B183,'Lookups &amp; Notes'!$A$4:$B$5,2,FALSE)</x:f>
        <x:v>Horeca</x:v>
      </x:c>
      <x:c r="K183" s="10" t="str">
        <x:f>VLOOKUP(C183,'Lookups &amp; Notes'!$A$8:$B$10,2,FALSE)</x:f>
        <x:v>Other</x:v>
      </x:c>
      <x:c r="L183" s="10" t="n">
        <x:f>SUM(D183:I183)</x:f>
        <x:v>31857</x:v>
      </x:c>
      <x:c r="M183" s="39" t="n">
        <x:f>IFERROR(F183/L183,0)</x:f>
        <x:v>0.2789653765263521</x:v>
      </x:c>
      <x:c r="N183" s="38" t="str">
        <x:f>IF(L183&gt;='Lookups &amp; Notes'!$E$4,"High Value","Standard")</x:f>
        <x:v>High Value</x:v>
      </x:c>
    </x:row>
    <x:row r="184">
      <x:c r="A184" s="38" t="str">
        <x:v>CUST-182</x:v>
      </x:c>
      <x:c r="B184" s="38" t="n">
        <x:f>'Raw Data'!A184</x:f>
        <x:v>1</x:v>
      </x:c>
      <x:c r="C184" s="38" t="n">
        <x:f>'Raw Data'!B184</x:f>
        <x:v>3</x:v>
      </x:c>
      <x:c r="D184" s="10" t="n">
        <x:f>'Raw Data'!C184</x:f>
        <x:v>112151</x:v>
      </x:c>
      <x:c r="E184" s="10" t="n">
        <x:f>'Raw Data'!D184</x:f>
        <x:v>29627</x:v>
      </x:c>
      <x:c r="F184" s="10" t="n">
        <x:f>'Raw Data'!E184</x:f>
        <x:v>18148</x:v>
      </x:c>
      <x:c r="G184" s="10" t="n">
        <x:f>'Raw Data'!F184</x:f>
        <x:v>16745</x:v>
      </x:c>
      <x:c r="H184" s="10" t="n">
        <x:f>'Raw Data'!G184</x:f>
        <x:v>4948</x:v>
      </x:c>
      <x:c r="I184" s="10" t="n">
        <x:f>'Raw Data'!H184</x:f>
        <x:v>8550</x:v>
      </x:c>
      <x:c r="J184" s="10" t="str">
        <x:f>VLOOKUP(B184,'Lookups &amp; Notes'!$A$4:$B$5,2,FALSE)</x:f>
        <x:v>Horeca</x:v>
      </x:c>
      <x:c r="K184" s="10" t="str">
        <x:f>VLOOKUP(C184,'Lookups &amp; Notes'!$A$8:$B$10,2,FALSE)</x:f>
        <x:v>Other</x:v>
      </x:c>
      <x:c r="L184" s="10" t="n">
        <x:f>SUM(D184:I184)</x:f>
        <x:v>190169</x:v>
      </x:c>
      <x:c r="M184" s="39" t="n">
        <x:f>IFERROR(F184/L184,0)</x:f>
        <x:v>0.09543090619396431</x:v>
      </x:c>
      <x:c r="N184" s="38" t="str">
        <x:f>IF(L184&gt;='Lookups &amp; Notes'!$E$4,"High Value","Standard")</x:f>
        <x:v>High Value</x:v>
      </x:c>
    </x:row>
    <x:row r="185">
      <x:c r="A185" s="38" t="str">
        <x:v>CUST-183</x:v>
      </x:c>
      <x:c r="B185" s="38" t="n">
        <x:f>'Raw Data'!A185</x:f>
        <x:v>1</x:v>
      </x:c>
      <x:c r="C185" s="38" t="n">
        <x:f>'Raw Data'!B185</x:f>
        <x:v>3</x:v>
      </x:c>
      <x:c r="D185" s="10" t="n">
        <x:f>'Raw Data'!C185</x:f>
        <x:v>694</x:v>
      </x:c>
      <x:c r="E185" s="10" t="n">
        <x:f>'Raw Data'!D185</x:f>
        <x:v>8533</x:v>
      </x:c>
      <x:c r="F185" s="10" t="n">
        <x:f>'Raw Data'!E185</x:f>
        <x:v>10518</x:v>
      </x:c>
      <x:c r="G185" s="10" t="n">
        <x:f>'Raw Data'!F185</x:f>
        <x:v>443</x:v>
      </x:c>
      <x:c r="H185" s="10" t="n">
        <x:f>'Raw Data'!G185</x:f>
        <x:v>6907</x:v>
      </x:c>
      <x:c r="I185" s="10" t="n">
        <x:f>'Raw Data'!H185</x:f>
        <x:v>156</x:v>
      </x:c>
      <x:c r="J185" s="10" t="str">
        <x:f>VLOOKUP(B185,'Lookups &amp; Notes'!$A$4:$B$5,2,FALSE)</x:f>
        <x:v>Horeca</x:v>
      </x:c>
      <x:c r="K185" s="10" t="str">
        <x:f>VLOOKUP(C185,'Lookups &amp; Notes'!$A$8:$B$10,2,FALSE)</x:f>
        <x:v>Other</x:v>
      </x:c>
      <x:c r="L185" s="10" t="n">
        <x:f>SUM(D185:I185)</x:f>
        <x:v>27251</x:v>
      </x:c>
      <x:c r="M185" s="39" t="n">
        <x:f>IFERROR(F185/L185,0)</x:f>
        <x:v>0.3859674874316539</x:v>
      </x:c>
      <x:c r="N185" s="38" t="str">
        <x:f>IF(L185&gt;='Lookups &amp; Notes'!$E$4,"High Value","Standard")</x:f>
        <x:v>Standard</x:v>
      </x:c>
    </x:row>
    <x:row r="186">
      <x:c r="A186" s="38" t="str">
        <x:v>CUST-184</x:v>
      </x:c>
      <x:c r="B186" s="38" t="n">
        <x:f>'Raw Data'!A186</x:f>
        <x:v>1</x:v>
      </x:c>
      <x:c r="C186" s="38" t="n">
        <x:f>'Raw Data'!B186</x:f>
        <x:v>3</x:v>
      </x:c>
      <x:c r="D186" s="10" t="n">
        <x:f>'Raw Data'!C186</x:f>
        <x:v>36847</x:v>
      </x:c>
      <x:c r="E186" s="10" t="n">
        <x:f>'Raw Data'!D186</x:f>
        <x:v>43950</x:v>
      </x:c>
      <x:c r="F186" s="10" t="n">
        <x:f>'Raw Data'!E186</x:f>
        <x:v>20170</x:v>
      </x:c>
      <x:c r="G186" s="10" t="n">
        <x:f>'Raw Data'!F186</x:f>
        <x:v>36534</x:v>
      </x:c>
      <x:c r="H186" s="10" t="n">
        <x:f>'Raw Data'!G186</x:f>
        <x:v>239</x:v>
      </x:c>
      <x:c r="I186" s="10" t="n">
        <x:f>'Raw Data'!H186</x:f>
        <x:v>47943</x:v>
      </x:c>
      <x:c r="J186" s="10" t="str">
        <x:f>VLOOKUP(B186,'Lookups &amp; Notes'!$A$4:$B$5,2,FALSE)</x:f>
        <x:v>Horeca</x:v>
      </x:c>
      <x:c r="K186" s="10" t="str">
        <x:f>VLOOKUP(C186,'Lookups &amp; Notes'!$A$8:$B$10,2,FALSE)</x:f>
        <x:v>Other</x:v>
      </x:c>
      <x:c r="L186" s="10" t="n">
        <x:f>SUM(D186:I186)</x:f>
        <x:v>185683</x:v>
      </x:c>
      <x:c r="M186" s="39" t="n">
        <x:f>IFERROR(F186/L186,0)</x:f>
        <x:v>0.10862599160935572</x:v>
      </x:c>
      <x:c r="N186" s="38" t="str">
        <x:f>IF(L186&gt;='Lookups &amp; Notes'!$E$4,"High Value","Standard")</x:f>
        <x:v>High Value</x:v>
      </x:c>
    </x:row>
    <x:row r="187">
      <x:c r="A187" s="38" t="str">
        <x:v>CUST-185</x:v>
      </x:c>
      <x:c r="B187" s="38" t="n">
        <x:f>'Raw Data'!A187</x:f>
        <x:v>1</x:v>
      </x:c>
      <x:c r="C187" s="38" t="n">
        <x:f>'Raw Data'!B187</x:f>
        <x:v>3</x:v>
      </x:c>
      <x:c r="D187" s="10" t="n">
        <x:f>'Raw Data'!C187</x:f>
        <x:v>327</x:v>
      </x:c>
      <x:c r="E187" s="10" t="n">
        <x:f>'Raw Data'!D187</x:f>
        <x:v>918</x:v>
      </x:c>
      <x:c r="F187" s="10" t="n">
        <x:f>'Raw Data'!E187</x:f>
        <x:v>4710</x:v>
      </x:c>
      <x:c r="G187" s="10" t="n">
        <x:f>'Raw Data'!F187</x:f>
        <x:v>74</x:v>
      </x:c>
      <x:c r="H187" s="10" t="n">
        <x:f>'Raw Data'!G187</x:f>
        <x:v>334</x:v>
      </x:c>
      <x:c r="I187" s="10" t="n">
        <x:f>'Raw Data'!H187</x:f>
        <x:v>11</x:v>
      </x:c>
      <x:c r="J187" s="10" t="str">
        <x:f>VLOOKUP(B187,'Lookups &amp; Notes'!$A$4:$B$5,2,FALSE)</x:f>
        <x:v>Horeca</x:v>
      </x:c>
      <x:c r="K187" s="10" t="str">
        <x:f>VLOOKUP(C187,'Lookups &amp; Notes'!$A$8:$B$10,2,FALSE)</x:f>
        <x:v>Other</x:v>
      </x:c>
      <x:c r="L187" s="10" t="n">
        <x:f>SUM(D187:I187)</x:f>
        <x:v>6374</x:v>
      </x:c>
      <x:c r="M187" s="39" t="n">
        <x:f>IFERROR(F187/L187,0)</x:f>
        <x:v>0.7389394414810166</x:v>
      </x:c>
      <x:c r="N187" s="38" t="str">
        <x:f>IF(L187&gt;='Lookups &amp; Notes'!$E$4,"High Value","Standard")</x:f>
        <x:v>Standard</x:v>
      </x:c>
    </x:row>
    <x:row r="188">
      <x:c r="A188" s="38" t="str">
        <x:v>CUST-186</x:v>
      </x:c>
      <x:c r="B188" s="38" t="n">
        <x:f>'Raw Data'!A188</x:f>
        <x:v>1</x:v>
      </x:c>
      <x:c r="C188" s="38" t="n">
        <x:f>'Raw Data'!B188</x:f>
        <x:v>3</x:v>
      </x:c>
      <x:c r="D188" s="10" t="n">
        <x:f>'Raw Data'!C188</x:f>
        <x:v>8170</x:v>
      </x:c>
      <x:c r="E188" s="10" t="n">
        <x:f>'Raw Data'!D188</x:f>
        <x:v>6448</x:v>
      </x:c>
      <x:c r="F188" s="10" t="n">
        <x:f>'Raw Data'!E188</x:f>
        <x:v>1139</x:v>
      </x:c>
      <x:c r="G188" s="10" t="n">
        <x:f>'Raw Data'!F188</x:f>
        <x:v>2181</x:v>
      </x:c>
      <x:c r="H188" s="10" t="n">
        <x:f>'Raw Data'!G188</x:f>
        <x:v>58</x:v>
      </x:c>
      <x:c r="I188" s="10" t="n">
        <x:f>'Raw Data'!H188</x:f>
        <x:v>247</x:v>
      </x:c>
      <x:c r="J188" s="10" t="str">
        <x:f>VLOOKUP(B188,'Lookups &amp; Notes'!$A$4:$B$5,2,FALSE)</x:f>
        <x:v>Horeca</x:v>
      </x:c>
      <x:c r="K188" s="10" t="str">
        <x:f>VLOOKUP(C188,'Lookups &amp; Notes'!$A$8:$B$10,2,FALSE)</x:f>
        <x:v>Other</x:v>
      </x:c>
      <x:c r="L188" s="10" t="n">
        <x:f>SUM(D188:I188)</x:f>
        <x:v>18243</x:v>
      </x:c>
      <x:c r="M188" s="39" t="n">
        <x:f>IFERROR(F188/L188,0)</x:f>
        <x:v>0.0624349065394946</x:v>
      </x:c>
      <x:c r="N188" s="38" t="str">
        <x:f>IF(L188&gt;='Lookups &amp; Notes'!$E$4,"High Value","Standard")</x:f>
        <x:v>Standard</x:v>
      </x:c>
    </x:row>
    <x:row r="189">
      <x:c r="A189" s="38" t="str">
        <x:v>CUST-187</x:v>
      </x:c>
      <x:c r="B189" s="38" t="n">
        <x:f>'Raw Data'!A189</x:f>
        <x:v>1</x:v>
      </x:c>
      <x:c r="C189" s="38" t="n">
        <x:f>'Raw Data'!B189</x:f>
        <x:v>3</x:v>
      </x:c>
      <x:c r="D189" s="10" t="n">
        <x:f>'Raw Data'!C189</x:f>
        <x:v>3009</x:v>
      </x:c>
      <x:c r="E189" s="10" t="n">
        <x:f>'Raw Data'!D189</x:f>
        <x:v>521</x:v>
      </x:c>
      <x:c r="F189" s="10" t="n">
        <x:f>'Raw Data'!E189</x:f>
        <x:v>854</x:v>
      </x:c>
      <x:c r="G189" s="10" t="n">
        <x:f>'Raw Data'!F189</x:f>
        <x:v>3470</x:v>
      </x:c>
      <x:c r="H189" s="10" t="n">
        <x:f>'Raw Data'!G189</x:f>
        <x:v>949</x:v>
      </x:c>
      <x:c r="I189" s="10" t="n">
        <x:f>'Raw Data'!H189</x:f>
        <x:v>727</x:v>
      </x:c>
      <x:c r="J189" s="10" t="str">
        <x:f>VLOOKUP(B189,'Lookups &amp; Notes'!$A$4:$B$5,2,FALSE)</x:f>
        <x:v>Horeca</x:v>
      </x:c>
      <x:c r="K189" s="10" t="str">
        <x:f>VLOOKUP(C189,'Lookups &amp; Notes'!$A$8:$B$10,2,FALSE)</x:f>
        <x:v>Other</x:v>
      </x:c>
      <x:c r="L189" s="10" t="n">
        <x:f>SUM(D189:I189)</x:f>
        <x:v>9530</x:v>
      </x:c>
      <x:c r="M189" s="39" t="n">
        <x:f>IFERROR(F189/L189,0)</x:f>
        <x:v>0.08961175236096537</x:v>
      </x:c>
      <x:c r="N189" s="38" t="str">
        <x:f>IF(L189&gt;='Lookups &amp; Notes'!$E$4,"High Value","Standard")</x:f>
        <x:v>Standard</x:v>
      </x:c>
    </x:row>
    <x:row r="190">
      <x:c r="A190" s="38" t="str">
        <x:v>CUST-188</x:v>
      </x:c>
      <x:c r="B190" s="38" t="n">
        <x:f>'Raw Data'!A190</x:f>
        <x:v>1</x:v>
      </x:c>
      <x:c r="C190" s="38" t="n">
        <x:f>'Raw Data'!B190</x:f>
        <x:v>3</x:v>
      </x:c>
      <x:c r="D190" s="10" t="n">
        <x:f>'Raw Data'!C190</x:f>
        <x:v>2438</x:v>
      </x:c>
      <x:c r="E190" s="10" t="n">
        <x:f>'Raw Data'!D190</x:f>
        <x:v>8002</x:v>
      </x:c>
      <x:c r="F190" s="10" t="n">
        <x:f>'Raw Data'!E190</x:f>
        <x:v>9819</x:v>
      </x:c>
      <x:c r="G190" s="10" t="n">
        <x:f>'Raw Data'!F190</x:f>
        <x:v>6269</x:v>
      </x:c>
      <x:c r="H190" s="10" t="n">
        <x:f>'Raw Data'!G190</x:f>
        <x:v>3459</x:v>
      </x:c>
      <x:c r="I190" s="10" t="n">
        <x:f>'Raw Data'!H190</x:f>
        <x:v>3</x:v>
      </x:c>
      <x:c r="J190" s="10" t="str">
        <x:f>VLOOKUP(B190,'Lookups &amp; Notes'!$A$4:$B$5,2,FALSE)</x:f>
        <x:v>Horeca</x:v>
      </x:c>
      <x:c r="K190" s="10" t="str">
        <x:f>VLOOKUP(C190,'Lookups &amp; Notes'!$A$8:$B$10,2,FALSE)</x:f>
        <x:v>Other</x:v>
      </x:c>
      <x:c r="L190" s="10" t="n">
        <x:f>SUM(D190:I190)</x:f>
        <x:v>29990</x:v>
      </x:c>
      <x:c r="M190" s="39" t="n">
        <x:f>IFERROR(F190/L190,0)</x:f>
        <x:v>0.32740913637879293</x:v>
      </x:c>
      <x:c r="N190" s="38" t="str">
        <x:f>IF(L190&gt;='Lookups &amp; Notes'!$E$4,"High Value","Standard")</x:f>
        <x:v>High Value</x:v>
      </x:c>
    </x:row>
    <x:row r="191">
      <x:c r="A191" s="38" t="str">
        <x:v>CUST-189</x:v>
      </x:c>
      <x:c r="B191" s="38" t="n">
        <x:f>'Raw Data'!A191</x:f>
        <x:v>2</x:v>
      </x:c>
      <x:c r="C191" s="38" t="n">
        <x:f>'Raw Data'!B191</x:f>
        <x:v>3</x:v>
      </x:c>
      <x:c r="D191" s="10" t="n">
        <x:f>'Raw Data'!C191</x:f>
        <x:v>8040</x:v>
      </x:c>
      <x:c r="E191" s="10" t="n">
        <x:f>'Raw Data'!D191</x:f>
        <x:v>7639</x:v>
      </x:c>
      <x:c r="F191" s="10" t="n">
        <x:f>'Raw Data'!E191</x:f>
        <x:v>11687</x:v>
      </x:c>
      <x:c r="G191" s="10" t="n">
        <x:f>'Raw Data'!F191</x:f>
        <x:v>2758</x:v>
      </x:c>
      <x:c r="H191" s="10" t="n">
        <x:f>'Raw Data'!G191</x:f>
        <x:v>6839</x:v>
      </x:c>
      <x:c r="I191" s="10" t="n">
        <x:f>'Raw Data'!H191</x:f>
        <x:v>404</x:v>
      </x:c>
      <x:c r="J191" s="10" t="str">
        <x:f>VLOOKUP(B191,'Lookups &amp; Notes'!$A$4:$B$5,2,FALSE)</x:f>
        <x:v>Retail</x:v>
      </x:c>
      <x:c r="K191" s="10" t="str">
        <x:f>VLOOKUP(C191,'Lookups &amp; Notes'!$A$8:$B$10,2,FALSE)</x:f>
        <x:v>Other</x:v>
      </x:c>
      <x:c r="L191" s="10" t="n">
        <x:f>SUM(D191:I191)</x:f>
        <x:v>37367</x:v>
      </x:c>
      <x:c r="M191" s="39" t="n">
        <x:f>IFERROR(F191/L191,0)</x:f>
        <x:v>0.3127625980142907</x:v>
      </x:c>
      <x:c r="N191" s="38" t="str">
        <x:f>IF(L191&gt;='Lookups &amp; Notes'!$E$4,"High Value","Standard")</x:f>
        <x:v>High Value</x:v>
      </x:c>
    </x:row>
    <x:row r="192">
      <x:c r="A192" s="38" t="str">
        <x:v>CUST-190</x:v>
      </x:c>
      <x:c r="B192" s="38" t="n">
        <x:f>'Raw Data'!A192</x:f>
        <x:v>2</x:v>
      </x:c>
      <x:c r="C192" s="38" t="n">
        <x:f>'Raw Data'!B192</x:f>
        <x:v>3</x:v>
      </x:c>
      <x:c r="D192" s="10" t="n">
        <x:f>'Raw Data'!C192</x:f>
        <x:v>834</x:v>
      </x:c>
      <x:c r="E192" s="10" t="n">
        <x:f>'Raw Data'!D192</x:f>
        <x:v>11577</x:v>
      </x:c>
      <x:c r="F192" s="10" t="n">
        <x:f>'Raw Data'!E192</x:f>
        <x:v>11522</x:v>
      </x:c>
      <x:c r="G192" s="10" t="n">
        <x:f>'Raw Data'!F192</x:f>
        <x:v>275</x:v>
      </x:c>
      <x:c r="H192" s="10" t="n">
        <x:f>'Raw Data'!G192</x:f>
        <x:v>4027</x:v>
      </x:c>
      <x:c r="I192" s="10" t="n">
        <x:f>'Raw Data'!H192</x:f>
        <x:v>1856</x:v>
      </x:c>
      <x:c r="J192" s="10" t="str">
        <x:f>VLOOKUP(B192,'Lookups &amp; Notes'!$A$4:$B$5,2,FALSE)</x:f>
        <x:v>Retail</x:v>
      </x:c>
      <x:c r="K192" s="10" t="str">
        <x:f>VLOOKUP(C192,'Lookups &amp; Notes'!$A$8:$B$10,2,FALSE)</x:f>
        <x:v>Other</x:v>
      </x:c>
      <x:c r="L192" s="10" t="n">
        <x:f>SUM(D192:I192)</x:f>
        <x:v>30091</x:v>
      </x:c>
      <x:c r="M192" s="39" t="n">
        <x:f>IFERROR(F192/L192,0)</x:f>
        <x:v>0.38290518759762054</x:v>
      </x:c>
      <x:c r="N192" s="38" t="str">
        <x:f>IF(L192&gt;='Lookups &amp; Notes'!$E$4,"High Value","Standard")</x:f>
        <x:v>High Value</x:v>
      </x:c>
    </x:row>
    <x:row r="193">
      <x:c r="A193" s="38" t="str">
        <x:v>CUST-191</x:v>
      </x:c>
      <x:c r="B193" s="38" t="n">
        <x:f>'Raw Data'!A193</x:f>
        <x:v>1</x:v>
      </x:c>
      <x:c r="C193" s="38" t="n">
        <x:f>'Raw Data'!B193</x:f>
        <x:v>3</x:v>
      </x:c>
      <x:c r="D193" s="10" t="n">
        <x:f>'Raw Data'!C193</x:f>
        <x:v>16936</x:v>
      </x:c>
      <x:c r="E193" s="10" t="n">
        <x:f>'Raw Data'!D193</x:f>
        <x:v>6250</x:v>
      </x:c>
      <x:c r="F193" s="10" t="n">
        <x:f>'Raw Data'!E193</x:f>
        <x:v>1981</x:v>
      </x:c>
      <x:c r="G193" s="10" t="n">
        <x:f>'Raw Data'!F193</x:f>
        <x:v>7332</x:v>
      </x:c>
      <x:c r="H193" s="10" t="n">
        <x:f>'Raw Data'!G193</x:f>
        <x:v>118</x:v>
      </x:c>
      <x:c r="I193" s="10" t="n">
        <x:f>'Raw Data'!H193</x:f>
        <x:v>64</x:v>
      </x:c>
      <x:c r="J193" s="10" t="str">
        <x:f>VLOOKUP(B193,'Lookups &amp; Notes'!$A$4:$B$5,2,FALSE)</x:f>
        <x:v>Horeca</x:v>
      </x:c>
      <x:c r="K193" s="10" t="str">
        <x:f>VLOOKUP(C193,'Lookups &amp; Notes'!$A$8:$B$10,2,FALSE)</x:f>
        <x:v>Other</x:v>
      </x:c>
      <x:c r="L193" s="10" t="n">
        <x:f>SUM(D193:I193)</x:f>
        <x:v>32681</x:v>
      </x:c>
      <x:c r="M193" s="39" t="n">
        <x:f>IFERROR(F193/L193,0)</x:f>
        <x:v>0.060616260212355805</x:v>
      </x:c>
      <x:c r="N193" s="38" t="str">
        <x:f>IF(L193&gt;='Lookups &amp; Notes'!$E$4,"High Value","Standard")</x:f>
        <x:v>High Value</x:v>
      </x:c>
    </x:row>
    <x:row r="194">
      <x:c r="A194" s="38" t="str">
        <x:v>CUST-192</x:v>
      </x:c>
      <x:c r="B194" s="38" t="n">
        <x:f>'Raw Data'!A194</x:f>
        <x:v>1</x:v>
      </x:c>
      <x:c r="C194" s="38" t="n">
        <x:f>'Raw Data'!B194</x:f>
        <x:v>3</x:v>
      </x:c>
      <x:c r="D194" s="10" t="n">
        <x:f>'Raw Data'!C194</x:f>
        <x:v>13624</x:v>
      </x:c>
      <x:c r="E194" s="10" t="n">
        <x:f>'Raw Data'!D194</x:f>
        <x:v>295</x:v>
      </x:c>
      <x:c r="F194" s="10" t="n">
        <x:f>'Raw Data'!E194</x:f>
        <x:v>1381</x:v>
      </x:c>
      <x:c r="G194" s="10" t="n">
        <x:f>'Raw Data'!F194</x:f>
        <x:v>890</x:v>
      </x:c>
      <x:c r="H194" s="10" t="n">
        <x:f>'Raw Data'!G194</x:f>
        <x:v>43</x:v>
      </x:c>
      <x:c r="I194" s="10" t="n">
        <x:f>'Raw Data'!H194</x:f>
        <x:v>84</x:v>
      </x:c>
      <x:c r="J194" s="10" t="str">
        <x:f>VLOOKUP(B194,'Lookups &amp; Notes'!$A$4:$B$5,2,FALSE)</x:f>
        <x:v>Horeca</x:v>
      </x:c>
      <x:c r="K194" s="10" t="str">
        <x:f>VLOOKUP(C194,'Lookups &amp; Notes'!$A$8:$B$10,2,FALSE)</x:f>
        <x:v>Other</x:v>
      </x:c>
      <x:c r="L194" s="10" t="n">
        <x:f>SUM(D194:I194)</x:f>
        <x:v>16317</x:v>
      </x:c>
      <x:c r="M194" s="39" t="n">
        <x:f>IFERROR(F194/L194,0)</x:f>
        <x:v>0.08463565606422749</x:v>
      </x:c>
      <x:c r="N194" s="38" t="str">
        <x:f>IF(L194&gt;='Lookups &amp; Notes'!$E$4,"High Value","Standard")</x:f>
        <x:v>Standard</x:v>
      </x:c>
    </x:row>
    <x:row r="195">
      <x:c r="A195" s="38" t="str">
        <x:v>CUST-193</x:v>
      </x:c>
      <x:c r="B195" s="38" t="n">
        <x:f>'Raw Data'!A195</x:f>
        <x:v>1</x:v>
      </x:c>
      <x:c r="C195" s="38" t="n">
        <x:f>'Raw Data'!B195</x:f>
        <x:v>3</x:v>
      </x:c>
      <x:c r="D195" s="10" t="n">
        <x:f>'Raw Data'!C195</x:f>
        <x:v>5509</x:v>
      </x:c>
      <x:c r="E195" s="10" t="n">
        <x:f>'Raw Data'!D195</x:f>
        <x:v>1461</x:v>
      </x:c>
      <x:c r="F195" s="10" t="n">
        <x:f>'Raw Data'!E195</x:f>
        <x:v>2251</x:v>
      </x:c>
      <x:c r="G195" s="10" t="n">
        <x:f>'Raw Data'!F195</x:f>
        <x:v>547</x:v>
      </x:c>
      <x:c r="H195" s="10" t="n">
        <x:f>'Raw Data'!G195</x:f>
        <x:v>187</x:v>
      </x:c>
      <x:c r="I195" s="10" t="n">
        <x:f>'Raw Data'!H195</x:f>
        <x:v>409</x:v>
      </x:c>
      <x:c r="J195" s="10" t="str">
        <x:f>VLOOKUP(B195,'Lookups &amp; Notes'!$A$4:$B$5,2,FALSE)</x:f>
        <x:v>Horeca</x:v>
      </x:c>
      <x:c r="K195" s="10" t="str">
        <x:f>VLOOKUP(C195,'Lookups &amp; Notes'!$A$8:$B$10,2,FALSE)</x:f>
        <x:v>Other</x:v>
      </x:c>
      <x:c r="L195" s="10" t="n">
        <x:f>SUM(D195:I195)</x:f>
        <x:v>10364</x:v>
      </x:c>
      <x:c r="M195" s="39" t="n">
        <x:f>IFERROR(F195/L195,0)</x:f>
        <x:v>0.21719413353917408</x:v>
      </x:c>
      <x:c r="N195" s="38" t="str">
        <x:f>IF(L195&gt;='Lookups &amp; Notes'!$E$4,"High Value","Standard")</x:f>
        <x:v>Standard</x:v>
      </x:c>
    </x:row>
    <x:row r="196">
      <x:c r="A196" s="38" t="str">
        <x:v>CUST-194</x:v>
      </x:c>
      <x:c r="B196" s="38" t="n">
        <x:f>'Raw Data'!A196</x:f>
        <x:v>2</x:v>
      </x:c>
      <x:c r="C196" s="38" t="n">
        <x:f>'Raw Data'!B196</x:f>
        <x:v>3</x:v>
      </x:c>
      <x:c r="D196" s="10" t="n">
        <x:f>'Raw Data'!C196</x:f>
        <x:v>180</x:v>
      </x:c>
      <x:c r="E196" s="10" t="n">
        <x:f>'Raw Data'!D196</x:f>
        <x:v>3485</x:v>
      </x:c>
      <x:c r="F196" s="10" t="n">
        <x:f>'Raw Data'!E196</x:f>
        <x:v>20292</x:v>
      </x:c>
      <x:c r="G196" s="10" t="n">
        <x:f>'Raw Data'!F196</x:f>
        <x:v>959</x:v>
      </x:c>
      <x:c r="H196" s="10" t="n">
        <x:f>'Raw Data'!G196</x:f>
        <x:v>5618</x:v>
      </x:c>
      <x:c r="I196" s="10" t="n">
        <x:f>'Raw Data'!H196</x:f>
        <x:v>666</x:v>
      </x:c>
      <x:c r="J196" s="10" t="str">
        <x:f>VLOOKUP(B196,'Lookups &amp; Notes'!$A$4:$B$5,2,FALSE)</x:f>
        <x:v>Retail</x:v>
      </x:c>
      <x:c r="K196" s="10" t="str">
        <x:f>VLOOKUP(C196,'Lookups &amp; Notes'!$A$8:$B$10,2,FALSE)</x:f>
        <x:v>Other</x:v>
      </x:c>
      <x:c r="L196" s="10" t="n">
        <x:f>SUM(D196:I196)</x:f>
        <x:v>31200</x:v>
      </x:c>
      <x:c r="M196" s="39" t="n">
        <x:f>IFERROR(F196/L196,0)</x:f>
        <x:v>0.6503846153846153</x:v>
      </x:c>
      <x:c r="N196" s="38" t="str">
        <x:f>IF(L196&gt;='Lookups &amp; Notes'!$E$4,"High Value","Standard")</x:f>
        <x:v>High Value</x:v>
      </x:c>
    </x:row>
    <x:row r="197">
      <x:c r="A197" s="38" t="str">
        <x:v>CUST-195</x:v>
      </x:c>
      <x:c r="B197" s="38" t="n">
        <x:f>'Raw Data'!A197</x:f>
        <x:v>1</x:v>
      </x:c>
      <x:c r="C197" s="38" t="n">
        <x:f>'Raw Data'!B197</x:f>
        <x:v>3</x:v>
      </x:c>
      <x:c r="D197" s="10" t="n">
        <x:f>'Raw Data'!C197</x:f>
        <x:v>7107</x:v>
      </x:c>
      <x:c r="E197" s="10" t="n">
        <x:f>'Raw Data'!D197</x:f>
        <x:v>1012</x:v>
      </x:c>
      <x:c r="F197" s="10" t="n">
        <x:f>'Raw Data'!E197</x:f>
        <x:v>2974</x:v>
      </x:c>
      <x:c r="G197" s="10" t="n">
        <x:f>'Raw Data'!F197</x:f>
        <x:v>806</x:v>
      </x:c>
      <x:c r="H197" s="10" t="n">
        <x:f>'Raw Data'!G197</x:f>
        <x:v>355</x:v>
      </x:c>
      <x:c r="I197" s="10" t="n">
        <x:f>'Raw Data'!H197</x:f>
        <x:v>1142</x:v>
      </x:c>
      <x:c r="J197" s="10" t="str">
        <x:f>VLOOKUP(B197,'Lookups &amp; Notes'!$A$4:$B$5,2,FALSE)</x:f>
        <x:v>Horeca</x:v>
      </x:c>
      <x:c r="K197" s="10" t="str">
        <x:f>VLOOKUP(C197,'Lookups &amp; Notes'!$A$8:$B$10,2,FALSE)</x:f>
        <x:v>Other</x:v>
      </x:c>
      <x:c r="L197" s="10" t="n">
        <x:f>SUM(D197:I197)</x:f>
        <x:v>13396</x:v>
      </x:c>
      <x:c r="M197" s="39" t="n">
        <x:f>IFERROR(F197/L197,0)</x:f>
        <x:v>0.22200656912511196</x:v>
      </x:c>
      <x:c r="N197" s="38" t="str">
        <x:f>IF(L197&gt;='Lookups &amp; Notes'!$E$4,"High Value","Standard")</x:f>
        <x:v>Standard</x:v>
      </x:c>
    </x:row>
    <x:row r="198">
      <x:c r="A198" s="38" t="str">
        <x:v>CUST-196</x:v>
      </x:c>
      <x:c r="B198" s="38" t="n">
        <x:f>'Raw Data'!A198</x:f>
        <x:v>1</x:v>
      </x:c>
      <x:c r="C198" s="38" t="n">
        <x:f>'Raw Data'!B198</x:f>
        <x:v>3</x:v>
      </x:c>
      <x:c r="D198" s="10" t="n">
        <x:f>'Raw Data'!C198</x:f>
        <x:v>17023</x:v>
      </x:c>
      <x:c r="E198" s="10" t="n">
        <x:f>'Raw Data'!D198</x:f>
        <x:v>5139</x:v>
      </x:c>
      <x:c r="F198" s="10" t="n">
        <x:f>'Raw Data'!E198</x:f>
        <x:v>5230</x:v>
      </x:c>
      <x:c r="G198" s="10" t="n">
        <x:f>'Raw Data'!F198</x:f>
        <x:v>7888</x:v>
      </x:c>
      <x:c r="H198" s="10" t="n">
        <x:f>'Raw Data'!G198</x:f>
        <x:v>330</x:v>
      </x:c>
      <x:c r="I198" s="10" t="n">
        <x:f>'Raw Data'!H198</x:f>
        <x:v>1755</x:v>
      </x:c>
      <x:c r="J198" s="10" t="str">
        <x:f>VLOOKUP(B198,'Lookups &amp; Notes'!$A$4:$B$5,2,FALSE)</x:f>
        <x:v>Horeca</x:v>
      </x:c>
      <x:c r="K198" s="10" t="str">
        <x:f>VLOOKUP(C198,'Lookups &amp; Notes'!$A$8:$B$10,2,FALSE)</x:f>
        <x:v>Other</x:v>
      </x:c>
      <x:c r="L198" s="10" t="n">
        <x:f>SUM(D198:I198)</x:f>
        <x:v>37365</x:v>
      </x:c>
      <x:c r="M198" s="39" t="n">
        <x:f>IFERROR(F198/L198,0)</x:f>
        <x:v>0.13997056068513314</x:v>
      </x:c>
      <x:c r="N198" s="38" t="str">
        <x:f>IF(L198&gt;='Lookups &amp; Notes'!$E$4,"High Value","Standard")</x:f>
        <x:v>High Value</x:v>
      </x:c>
    </x:row>
    <x:row r="199">
      <x:c r="A199" s="38" t="str">
        <x:v>CUST-197</x:v>
      </x:c>
      <x:c r="B199" s="38" t="n">
        <x:f>'Raw Data'!A199</x:f>
        <x:v>1</x:v>
      </x:c>
      <x:c r="C199" s="38" t="n">
        <x:f>'Raw Data'!B199</x:f>
        <x:v>1</x:v>
      </x:c>
      <x:c r="D199" s="10" t="n">
        <x:f>'Raw Data'!C199</x:f>
        <x:v>30624</x:v>
      </x:c>
      <x:c r="E199" s="10" t="n">
        <x:f>'Raw Data'!D199</x:f>
        <x:v>7209</x:v>
      </x:c>
      <x:c r="F199" s="10" t="n">
        <x:f>'Raw Data'!E199</x:f>
        <x:v>4897</x:v>
      </x:c>
      <x:c r="G199" s="10" t="n">
        <x:f>'Raw Data'!F199</x:f>
        <x:v>18711</x:v>
      </x:c>
      <x:c r="H199" s="10" t="n">
        <x:f>'Raw Data'!G199</x:f>
        <x:v>763</x:v>
      </x:c>
      <x:c r="I199" s="10" t="n">
        <x:f>'Raw Data'!H199</x:f>
        <x:v>2876</x:v>
      </x:c>
      <x:c r="J199" s="10" t="str">
        <x:f>VLOOKUP(B199,'Lookups &amp; Notes'!$A$4:$B$5,2,FALSE)</x:f>
        <x:v>Horeca</x:v>
      </x:c>
      <x:c r="K199" s="10" t="str">
        <x:f>VLOOKUP(C199,'Lookups &amp; Notes'!$A$8:$B$10,2,FALSE)</x:f>
        <x:v>Lisbon</x:v>
      </x:c>
      <x:c r="L199" s="10" t="n">
        <x:f>SUM(D199:I199)</x:f>
        <x:v>65080</x:v>
      </x:c>
      <x:c r="M199" s="39" t="n">
        <x:f>IFERROR(F199/L199,0)</x:f>
        <x:v>0.0752458512599877</x:v>
      </x:c>
      <x:c r="N199" s="38" t="str">
        <x:f>IF(L199&gt;='Lookups &amp; Notes'!$E$4,"High Value","Standard")</x:f>
        <x:v>High Value</x:v>
      </x:c>
    </x:row>
    <x:row r="200">
      <x:c r="A200" s="38" t="str">
        <x:v>CUST-198</x:v>
      </x:c>
      <x:c r="B200" s="38" t="n">
        <x:f>'Raw Data'!A200</x:f>
        <x:v>2</x:v>
      </x:c>
      <x:c r="C200" s="38" t="n">
        <x:f>'Raw Data'!B200</x:f>
        <x:v>1</x:v>
      </x:c>
      <x:c r="D200" s="10" t="n">
        <x:f>'Raw Data'!C200</x:f>
        <x:v>2427</x:v>
      </x:c>
      <x:c r="E200" s="10" t="n">
        <x:f>'Raw Data'!D200</x:f>
        <x:v>7097</x:v>
      </x:c>
      <x:c r="F200" s="10" t="n">
        <x:f>'Raw Data'!E200</x:f>
        <x:v>10391</x:v>
      </x:c>
      <x:c r="G200" s="10" t="n">
        <x:f>'Raw Data'!F200</x:f>
        <x:v>1127</x:v>
      </x:c>
      <x:c r="H200" s="10" t="n">
        <x:f>'Raw Data'!G200</x:f>
        <x:v>4314</x:v>
      </x:c>
      <x:c r="I200" s="10" t="n">
        <x:f>'Raw Data'!H200</x:f>
        <x:v>1468</x:v>
      </x:c>
      <x:c r="J200" s="10" t="str">
        <x:f>VLOOKUP(B200,'Lookups &amp; Notes'!$A$4:$B$5,2,FALSE)</x:f>
        <x:v>Retail</x:v>
      </x:c>
      <x:c r="K200" s="10" t="str">
        <x:f>VLOOKUP(C200,'Lookups &amp; Notes'!$A$8:$B$10,2,FALSE)</x:f>
        <x:v>Lisbon</x:v>
      </x:c>
      <x:c r="L200" s="10" t="n">
        <x:f>SUM(D200:I200)</x:f>
        <x:v>26824</x:v>
      </x:c>
      <x:c r="M200" s="39" t="n">
        <x:f>IFERROR(F200/L200,0)</x:f>
        <x:v>0.38737697584252906</x:v>
      </x:c>
      <x:c r="N200" s="38" t="str">
        <x:f>IF(L200&gt;='Lookups &amp; Notes'!$E$4,"High Value","Standard")</x:f>
        <x:v>Standard</x:v>
      </x:c>
    </x:row>
    <x:row r="201">
      <x:c r="A201" s="38" t="str">
        <x:v>CUST-199</x:v>
      </x:c>
      <x:c r="B201" s="38" t="n">
        <x:f>'Raw Data'!A201</x:f>
        <x:v>1</x:v>
      </x:c>
      <x:c r="C201" s="38" t="n">
        <x:f>'Raw Data'!B201</x:f>
        <x:v>1</x:v>
      </x:c>
      <x:c r="D201" s="10" t="n">
        <x:f>'Raw Data'!C201</x:f>
        <x:v>11686</x:v>
      </x:c>
      <x:c r="E201" s="10" t="n">
        <x:f>'Raw Data'!D201</x:f>
        <x:v>2154</x:v>
      </x:c>
      <x:c r="F201" s="10" t="n">
        <x:f>'Raw Data'!E201</x:f>
        <x:v>6824</x:v>
      </x:c>
      <x:c r="G201" s="10" t="n">
        <x:f>'Raw Data'!F201</x:f>
        <x:v>3527</x:v>
      </x:c>
      <x:c r="H201" s="10" t="n">
        <x:f>'Raw Data'!G201</x:f>
        <x:v>592</x:v>
      </x:c>
      <x:c r="I201" s="10" t="n">
        <x:f>'Raw Data'!H201</x:f>
        <x:v>697</x:v>
      </x:c>
      <x:c r="J201" s="10" t="str">
        <x:f>VLOOKUP(B201,'Lookups &amp; Notes'!$A$4:$B$5,2,FALSE)</x:f>
        <x:v>Horeca</x:v>
      </x:c>
      <x:c r="K201" s="10" t="str">
        <x:f>VLOOKUP(C201,'Lookups &amp; Notes'!$A$8:$B$10,2,FALSE)</x:f>
        <x:v>Lisbon</x:v>
      </x:c>
      <x:c r="L201" s="10" t="n">
        <x:f>SUM(D201:I201)</x:f>
        <x:v>25480</x:v>
      </x:c>
      <x:c r="M201" s="39" t="n">
        <x:f>IFERROR(F201/L201,0)</x:f>
        <x:v>0.26781789638932496</x:v>
      </x:c>
      <x:c r="N201" s="38" t="str">
        <x:f>IF(L201&gt;='Lookups &amp; Notes'!$E$4,"High Value","Standard")</x:f>
        <x:v>Standard</x:v>
      </x:c>
    </x:row>
    <x:row r="202">
      <x:c r="A202" s="38" t="str">
        <x:v>CUST-200</x:v>
      </x:c>
      <x:c r="B202" s="38" t="n">
        <x:f>'Raw Data'!A202</x:f>
        <x:v>1</x:v>
      </x:c>
      <x:c r="C202" s="38" t="n">
        <x:f>'Raw Data'!B202</x:f>
        <x:v>1</x:v>
      </x:c>
      <x:c r="D202" s="10" t="n">
        <x:f>'Raw Data'!C202</x:f>
        <x:v>9670</x:v>
      </x:c>
      <x:c r="E202" s="10" t="n">
        <x:f>'Raw Data'!D202</x:f>
        <x:v>2280</x:v>
      </x:c>
      <x:c r="F202" s="10" t="n">
        <x:f>'Raw Data'!E202</x:f>
        <x:v>2112</x:v>
      </x:c>
      <x:c r="G202" s="10" t="n">
        <x:f>'Raw Data'!F202</x:f>
        <x:v>520</x:v>
      </x:c>
      <x:c r="H202" s="10" t="n">
        <x:f>'Raw Data'!G202</x:f>
        <x:v>402</x:v>
      </x:c>
      <x:c r="I202" s="10" t="n">
        <x:f>'Raw Data'!H202</x:f>
        <x:v>347</x:v>
      </x:c>
      <x:c r="J202" s="10" t="str">
        <x:f>VLOOKUP(B202,'Lookups &amp; Notes'!$A$4:$B$5,2,FALSE)</x:f>
        <x:v>Horeca</x:v>
      </x:c>
      <x:c r="K202" s="10" t="str">
        <x:f>VLOOKUP(C202,'Lookups &amp; Notes'!$A$8:$B$10,2,FALSE)</x:f>
        <x:v>Lisbon</x:v>
      </x:c>
      <x:c r="L202" s="10" t="n">
        <x:f>SUM(D202:I202)</x:f>
        <x:v>15331</x:v>
      </x:c>
      <x:c r="M202" s="39" t="n">
        <x:f>IFERROR(F202/L202,0)</x:f>
        <x:v>0.13776009392733676</x:v>
      </x:c>
      <x:c r="N202" s="38" t="str">
        <x:f>IF(L202&gt;='Lookups &amp; Notes'!$E$4,"High Value","Standard")</x:f>
        <x:v>Standard</x:v>
      </x:c>
    </x:row>
    <x:row r="203">
      <x:c r="A203" s="38" t="str">
        <x:v>CUST-201</x:v>
      </x:c>
      <x:c r="B203" s="38" t="n">
        <x:f>'Raw Data'!A203</x:f>
        <x:v>2</x:v>
      </x:c>
      <x:c r="C203" s="38" t="n">
        <x:f>'Raw Data'!B203</x:f>
        <x:v>1</x:v>
      </x:c>
      <x:c r="D203" s="10" t="n">
        <x:f>'Raw Data'!C203</x:f>
        <x:v>3067</x:v>
      </x:c>
      <x:c r="E203" s="10" t="n">
        <x:f>'Raw Data'!D203</x:f>
        <x:v>13240</x:v>
      </x:c>
      <x:c r="F203" s="10" t="n">
        <x:f>'Raw Data'!E203</x:f>
        <x:v>23127</x:v>
      </x:c>
      <x:c r="G203" s="10" t="n">
        <x:f>'Raw Data'!F203</x:f>
        <x:v>3941</x:v>
      </x:c>
      <x:c r="H203" s="10" t="n">
        <x:f>'Raw Data'!G203</x:f>
        <x:v>9959</x:v>
      </x:c>
      <x:c r="I203" s="10" t="n">
        <x:f>'Raw Data'!H203</x:f>
        <x:v>731</x:v>
      </x:c>
      <x:c r="J203" s="10" t="str">
        <x:f>VLOOKUP(B203,'Lookups &amp; Notes'!$A$4:$B$5,2,FALSE)</x:f>
        <x:v>Retail</x:v>
      </x:c>
      <x:c r="K203" s="10" t="str">
        <x:f>VLOOKUP(C203,'Lookups &amp; Notes'!$A$8:$B$10,2,FALSE)</x:f>
        <x:v>Lisbon</x:v>
      </x:c>
      <x:c r="L203" s="10" t="n">
        <x:f>SUM(D203:I203)</x:f>
        <x:v>54065</x:v>
      </x:c>
      <x:c r="M203" s="39" t="n">
        <x:f>IFERROR(F203/L203,0)</x:f>
        <x:v>0.42776287801720153</x:v>
      </x:c>
      <x:c r="N203" s="38" t="str">
        <x:f>IF(L203&gt;='Lookups &amp; Notes'!$E$4,"High Value","Standard")</x:f>
        <x:v>High Value</x:v>
      </x:c>
    </x:row>
    <x:row r="204">
      <x:c r="A204" s="38" t="str">
        <x:v>CUST-202</x:v>
      </x:c>
      <x:c r="B204" s="38" t="n">
        <x:f>'Raw Data'!A204</x:f>
        <x:v>2</x:v>
      </x:c>
      <x:c r="C204" s="38" t="n">
        <x:f>'Raw Data'!B204</x:f>
        <x:v>1</x:v>
      </x:c>
      <x:c r="D204" s="10" t="n">
        <x:f>'Raw Data'!C204</x:f>
        <x:v>4484</x:v>
      </x:c>
      <x:c r="E204" s="10" t="n">
        <x:f>'Raw Data'!D204</x:f>
        <x:v>14399</x:v>
      </x:c>
      <x:c r="F204" s="10" t="n">
        <x:f>'Raw Data'!E204</x:f>
        <x:v>24708</x:v>
      </x:c>
      <x:c r="G204" s="10" t="n">
        <x:f>'Raw Data'!F204</x:f>
        <x:v>3549</x:v>
      </x:c>
      <x:c r="H204" s="10" t="n">
        <x:f>'Raw Data'!G204</x:f>
        <x:v>14235</x:v>
      </x:c>
      <x:c r="I204" s="10" t="n">
        <x:f>'Raw Data'!H204</x:f>
        <x:v>1681</x:v>
      </x:c>
      <x:c r="J204" s="10" t="str">
        <x:f>VLOOKUP(B204,'Lookups &amp; Notes'!$A$4:$B$5,2,FALSE)</x:f>
        <x:v>Retail</x:v>
      </x:c>
      <x:c r="K204" s="10" t="str">
        <x:f>VLOOKUP(C204,'Lookups &amp; Notes'!$A$8:$B$10,2,FALSE)</x:f>
        <x:v>Lisbon</x:v>
      </x:c>
      <x:c r="L204" s="10" t="n">
        <x:f>SUM(D204:I204)</x:f>
        <x:v>63056</x:v>
      </x:c>
      <x:c r="M204" s="39" t="n">
        <x:f>IFERROR(F204/L204,0)</x:f>
        <x:v>0.3918421720375539</x:v>
      </x:c>
      <x:c r="N204" s="38" t="str">
        <x:f>IF(L204&gt;='Lookups &amp; Notes'!$E$4,"High Value","Standard")</x:f>
        <x:v>High Value</x:v>
      </x:c>
    </x:row>
    <x:row r="205">
      <x:c r="A205" s="38" t="str">
        <x:v>CUST-203</x:v>
      </x:c>
      <x:c r="B205" s="38" t="n">
        <x:f>'Raw Data'!A205</x:f>
        <x:v>1</x:v>
      </x:c>
      <x:c r="C205" s="38" t="n">
        <x:f>'Raw Data'!B205</x:f>
        <x:v>1</x:v>
      </x:c>
      <x:c r="D205" s="10" t="n">
        <x:f>'Raw Data'!C205</x:f>
        <x:v>25203</x:v>
      </x:c>
      <x:c r="E205" s="10" t="n">
        <x:f>'Raw Data'!D205</x:f>
        <x:v>11487</x:v>
      </x:c>
      <x:c r="F205" s="10" t="n">
        <x:f>'Raw Data'!E205</x:f>
        <x:v>9490</x:v>
      </x:c>
      <x:c r="G205" s="10" t="n">
        <x:f>'Raw Data'!F205</x:f>
        <x:v>5065</x:v>
      </x:c>
      <x:c r="H205" s="10" t="n">
        <x:f>'Raw Data'!G205</x:f>
        <x:v>284</x:v>
      </x:c>
      <x:c r="I205" s="10" t="n">
        <x:f>'Raw Data'!H205</x:f>
        <x:v>6854</x:v>
      </x:c>
      <x:c r="J205" s="10" t="str">
        <x:f>VLOOKUP(B205,'Lookups &amp; Notes'!$A$4:$B$5,2,FALSE)</x:f>
        <x:v>Horeca</x:v>
      </x:c>
      <x:c r="K205" s="10" t="str">
        <x:f>VLOOKUP(C205,'Lookups &amp; Notes'!$A$8:$B$10,2,FALSE)</x:f>
        <x:v>Lisbon</x:v>
      </x:c>
      <x:c r="L205" s="10" t="n">
        <x:f>SUM(D205:I205)</x:f>
        <x:v>58383</x:v>
      </x:c>
      <x:c r="M205" s="39" t="n">
        <x:f>IFERROR(F205/L205,0)</x:f>
        <x:v>0.1625473168559341</x:v>
      </x:c>
      <x:c r="N205" s="38" t="str">
        <x:f>IF(L205&gt;='Lookups &amp; Notes'!$E$4,"High Value","Standard")</x:f>
        <x:v>High Value</x:v>
      </x:c>
    </x:row>
    <x:row r="206">
      <x:c r="A206" s="38" t="str">
        <x:v>CUST-204</x:v>
      </x:c>
      <x:c r="B206" s="38" t="n">
        <x:f>'Raw Data'!A206</x:f>
        <x:v>1</x:v>
      </x:c>
      <x:c r="C206" s="38" t="n">
        <x:f>'Raw Data'!B206</x:f>
        <x:v>1</x:v>
      </x:c>
      <x:c r="D206" s="10" t="n">
        <x:f>'Raw Data'!C206</x:f>
        <x:v>583</x:v>
      </x:c>
      <x:c r="E206" s="10" t="n">
        <x:f>'Raw Data'!D206</x:f>
        <x:v>685</x:v>
      </x:c>
      <x:c r="F206" s="10" t="n">
        <x:f>'Raw Data'!E206</x:f>
        <x:v>2216</x:v>
      </x:c>
      <x:c r="G206" s="10" t="n">
        <x:f>'Raw Data'!F206</x:f>
        <x:v>469</x:v>
      </x:c>
      <x:c r="H206" s="10" t="n">
        <x:f>'Raw Data'!G206</x:f>
        <x:v>954</x:v>
      </x:c>
      <x:c r="I206" s="10" t="n">
        <x:f>'Raw Data'!H206</x:f>
        <x:v>18</x:v>
      </x:c>
      <x:c r="J206" s="10" t="str">
        <x:f>VLOOKUP(B206,'Lookups &amp; Notes'!$A$4:$B$5,2,FALSE)</x:f>
        <x:v>Horeca</x:v>
      </x:c>
      <x:c r="K206" s="10" t="str">
        <x:f>VLOOKUP(C206,'Lookups &amp; Notes'!$A$8:$B$10,2,FALSE)</x:f>
        <x:v>Lisbon</x:v>
      </x:c>
      <x:c r="L206" s="10" t="n">
        <x:f>SUM(D206:I206)</x:f>
        <x:v>4925</x:v>
      </x:c>
      <x:c r="M206" s="39" t="n">
        <x:f>IFERROR(F206/L206,0)</x:f>
        <x:v>0.4499492385786802</x:v>
      </x:c>
      <x:c r="N206" s="38" t="str">
        <x:f>IF(L206&gt;='Lookups &amp; Notes'!$E$4,"High Value","Standard")</x:f>
        <x:v>Standard</x:v>
      </x:c>
    </x:row>
    <x:row r="207">
      <x:c r="A207" s="38" t="str">
        <x:v>CUST-205</x:v>
      </x:c>
      <x:c r="B207" s="38" t="n">
        <x:f>'Raw Data'!A207</x:f>
        <x:v>1</x:v>
      </x:c>
      <x:c r="C207" s="38" t="n">
        <x:f>'Raw Data'!B207</x:f>
        <x:v>1</x:v>
      </x:c>
      <x:c r="D207" s="10" t="n">
        <x:f>'Raw Data'!C207</x:f>
        <x:v>1956</x:v>
      </x:c>
      <x:c r="E207" s="10" t="n">
        <x:f>'Raw Data'!D207</x:f>
        <x:v>891</x:v>
      </x:c>
      <x:c r="F207" s="10" t="n">
        <x:f>'Raw Data'!E207</x:f>
        <x:v>5226</x:v>
      </x:c>
      <x:c r="G207" s="10" t="n">
        <x:f>'Raw Data'!F207</x:f>
        <x:v>1383</x:v>
      </x:c>
      <x:c r="H207" s="10" t="n">
        <x:f>'Raw Data'!G207</x:f>
        <x:v>5</x:v>
      </x:c>
      <x:c r="I207" s="10" t="n">
        <x:f>'Raw Data'!H207</x:f>
        <x:v>1328</x:v>
      </x:c>
      <x:c r="J207" s="10" t="str">
        <x:f>VLOOKUP(B207,'Lookups &amp; Notes'!$A$4:$B$5,2,FALSE)</x:f>
        <x:v>Horeca</x:v>
      </x:c>
      <x:c r="K207" s="10" t="str">
        <x:f>VLOOKUP(C207,'Lookups &amp; Notes'!$A$8:$B$10,2,FALSE)</x:f>
        <x:v>Lisbon</x:v>
      </x:c>
      <x:c r="L207" s="10" t="n">
        <x:f>SUM(D207:I207)</x:f>
        <x:v>10789</x:v>
      </x:c>
      <x:c r="M207" s="39" t="n">
        <x:f>IFERROR(F207/L207,0)</x:f>
        <x:v>0.48438224117156364</x:v>
      </x:c>
      <x:c r="N207" s="38" t="str">
        <x:f>IF(L207&gt;='Lookups &amp; Notes'!$E$4,"High Value","Standard")</x:f>
        <x:v>Standard</x:v>
      </x:c>
    </x:row>
    <x:row r="208">
      <x:c r="A208" s="38" t="str">
        <x:v>CUST-206</x:v>
      </x:c>
      <x:c r="B208" s="38" t="n">
        <x:f>'Raw Data'!A208</x:f>
        <x:v>2</x:v>
      </x:c>
      <x:c r="C208" s="38" t="n">
        <x:f>'Raw Data'!B208</x:f>
        <x:v>1</x:v>
      </x:c>
      <x:c r="D208" s="10" t="n">
        <x:f>'Raw Data'!C208</x:f>
        <x:v>1107</x:v>
      </x:c>
      <x:c r="E208" s="10" t="n">
        <x:f>'Raw Data'!D208</x:f>
        <x:v>11711</x:v>
      </x:c>
      <x:c r="F208" s="10" t="n">
        <x:f>'Raw Data'!E208</x:f>
        <x:v>23596</x:v>
      </x:c>
      <x:c r="G208" s="10" t="n">
        <x:f>'Raw Data'!F208</x:f>
        <x:v>955</x:v>
      </x:c>
      <x:c r="H208" s="10" t="n">
        <x:f>'Raw Data'!G208</x:f>
        <x:v>9265</x:v>
      </x:c>
      <x:c r="I208" s="10" t="n">
        <x:f>'Raw Data'!H208</x:f>
        <x:v>710</x:v>
      </x:c>
      <x:c r="J208" s="10" t="str">
        <x:f>VLOOKUP(B208,'Lookups &amp; Notes'!$A$4:$B$5,2,FALSE)</x:f>
        <x:v>Retail</x:v>
      </x:c>
      <x:c r="K208" s="10" t="str">
        <x:f>VLOOKUP(C208,'Lookups &amp; Notes'!$A$8:$B$10,2,FALSE)</x:f>
        <x:v>Lisbon</x:v>
      </x:c>
      <x:c r="L208" s="10" t="n">
        <x:f>SUM(D208:I208)</x:f>
        <x:v>47344</x:v>
      </x:c>
      <x:c r="M208" s="39" t="n">
        <x:f>IFERROR(F208/L208,0)</x:f>
        <x:v>0.4983947279486313</x:v>
      </x:c>
      <x:c r="N208" s="38" t="str">
        <x:f>IF(L208&gt;='Lookups &amp; Notes'!$E$4,"High Value","Standard")</x:f>
        <x:v>High Value</x:v>
      </x:c>
    </x:row>
    <x:row r="209">
      <x:c r="A209" s="38" t="str">
        <x:v>CUST-207</x:v>
      </x:c>
      <x:c r="B209" s="38" t="n">
        <x:f>'Raw Data'!A209</x:f>
        <x:v>1</x:v>
      </x:c>
      <x:c r="C209" s="38" t="n">
        <x:f>'Raw Data'!B209</x:f>
        <x:v>1</x:v>
      </x:c>
      <x:c r="D209" s="10" t="n">
        <x:f>'Raw Data'!C209</x:f>
        <x:v>6373</x:v>
      </x:c>
      <x:c r="E209" s="10" t="n">
        <x:f>'Raw Data'!D209</x:f>
        <x:v>780</x:v>
      </x:c>
      <x:c r="F209" s="10" t="n">
        <x:f>'Raw Data'!E209</x:f>
        <x:v>950</x:v>
      </x:c>
      <x:c r="G209" s="10" t="n">
        <x:f>'Raw Data'!F209</x:f>
        <x:v>878</x:v>
      </x:c>
      <x:c r="H209" s="10" t="n">
        <x:f>'Raw Data'!G209</x:f>
        <x:v>288</x:v>
      </x:c>
      <x:c r="I209" s="10" t="n">
        <x:f>'Raw Data'!H209</x:f>
        <x:v>285</x:v>
      </x:c>
      <x:c r="J209" s="10" t="str">
        <x:f>VLOOKUP(B209,'Lookups &amp; Notes'!$A$4:$B$5,2,FALSE)</x:f>
        <x:v>Horeca</x:v>
      </x:c>
      <x:c r="K209" s="10" t="str">
        <x:f>VLOOKUP(C209,'Lookups &amp; Notes'!$A$8:$B$10,2,FALSE)</x:f>
        <x:v>Lisbon</x:v>
      </x:c>
      <x:c r="L209" s="10" t="n">
        <x:f>SUM(D209:I209)</x:f>
        <x:v>9554</x:v>
      </x:c>
      <x:c r="M209" s="39" t="n">
        <x:f>IFERROR(F209/L209,0)</x:f>
        <x:v>0.09943479171027841</x:v>
      </x:c>
      <x:c r="N209" s="38" t="str">
        <x:f>IF(L209&gt;='Lookups &amp; Notes'!$E$4,"High Value","Standard")</x:f>
        <x:v>Standard</x:v>
      </x:c>
    </x:row>
    <x:row r="210">
      <x:c r="A210" s="38" t="str">
        <x:v>CUST-208</x:v>
      </x:c>
      <x:c r="B210" s="38" t="n">
        <x:f>'Raw Data'!A210</x:f>
        <x:v>2</x:v>
      </x:c>
      <x:c r="C210" s="38" t="n">
        <x:f>'Raw Data'!B210</x:f>
        <x:v>1</x:v>
      </x:c>
      <x:c r="D210" s="10" t="n">
        <x:f>'Raw Data'!C210</x:f>
        <x:v>2541</x:v>
      </x:c>
      <x:c r="E210" s="10" t="n">
        <x:f>'Raw Data'!D210</x:f>
        <x:v>4737</x:v>
      </x:c>
      <x:c r="F210" s="10" t="n">
        <x:f>'Raw Data'!E210</x:f>
        <x:v>6089</x:v>
      </x:c>
      <x:c r="G210" s="10" t="n">
        <x:f>'Raw Data'!F210</x:f>
        <x:v>2946</x:v>
      </x:c>
      <x:c r="H210" s="10" t="n">
        <x:f>'Raw Data'!G210</x:f>
        <x:v>5316</x:v>
      </x:c>
      <x:c r="I210" s="10" t="n">
        <x:f>'Raw Data'!H210</x:f>
        <x:v>120</x:v>
      </x:c>
      <x:c r="J210" s="10" t="str">
        <x:f>VLOOKUP(B210,'Lookups &amp; Notes'!$A$4:$B$5,2,FALSE)</x:f>
        <x:v>Retail</x:v>
      </x:c>
      <x:c r="K210" s="10" t="str">
        <x:f>VLOOKUP(C210,'Lookups &amp; Notes'!$A$8:$B$10,2,FALSE)</x:f>
        <x:v>Lisbon</x:v>
      </x:c>
      <x:c r="L210" s="10" t="n">
        <x:f>SUM(D210:I210)</x:f>
        <x:v>21749</x:v>
      </x:c>
      <x:c r="M210" s="39" t="n">
        <x:f>IFERROR(F210/L210,0)</x:f>
        <x:v>0.27996689502965655</x:v>
      </x:c>
      <x:c r="N210" s="38" t="str">
        <x:f>IF(L210&gt;='Lookups &amp; Notes'!$E$4,"High Value","Standard")</x:f>
        <x:v>Standard</x:v>
      </x:c>
    </x:row>
    <x:row r="211">
      <x:c r="A211" s="38" t="str">
        <x:v>CUST-209</x:v>
      </x:c>
      <x:c r="B211" s="38" t="n">
        <x:f>'Raw Data'!A211</x:f>
        <x:v>1</x:v>
      </x:c>
      <x:c r="C211" s="38" t="n">
        <x:f>'Raw Data'!B211</x:f>
        <x:v>1</x:v>
      </x:c>
      <x:c r="D211" s="10" t="n">
        <x:f>'Raw Data'!C211</x:f>
        <x:v>1537</x:v>
      </x:c>
      <x:c r="E211" s="10" t="n">
        <x:f>'Raw Data'!D211</x:f>
        <x:v>3748</x:v>
      </x:c>
      <x:c r="F211" s="10" t="n">
        <x:f>'Raw Data'!E211</x:f>
        <x:v>5838</x:v>
      </x:c>
      <x:c r="G211" s="10" t="n">
        <x:f>'Raw Data'!F211</x:f>
        <x:v>1859</x:v>
      </x:c>
      <x:c r="H211" s="10" t="n">
        <x:f>'Raw Data'!G211</x:f>
        <x:v>3381</x:v>
      </x:c>
      <x:c r="I211" s="10" t="n">
        <x:f>'Raw Data'!H211</x:f>
        <x:v>806</x:v>
      </x:c>
      <x:c r="J211" s="10" t="str">
        <x:f>VLOOKUP(B211,'Lookups &amp; Notes'!$A$4:$B$5,2,FALSE)</x:f>
        <x:v>Horeca</x:v>
      </x:c>
      <x:c r="K211" s="10" t="str">
        <x:f>VLOOKUP(C211,'Lookups &amp; Notes'!$A$8:$B$10,2,FALSE)</x:f>
        <x:v>Lisbon</x:v>
      </x:c>
      <x:c r="L211" s="10" t="n">
        <x:f>SUM(D211:I211)</x:f>
        <x:v>17169</x:v>
      </x:c>
      <x:c r="M211" s="39" t="n">
        <x:f>IFERROR(F211/L211,0)</x:f>
        <x:v>0.34003145203564566</x:v>
      </x:c>
      <x:c r="N211" s="38" t="str">
        <x:f>IF(L211&gt;='Lookups &amp; Notes'!$E$4,"High Value","Standard")</x:f>
        <x:v>Standard</x:v>
      </x:c>
    </x:row>
    <x:row r="212">
      <x:c r="A212" s="38" t="str">
        <x:v>CUST-210</x:v>
      </x:c>
      <x:c r="B212" s="38" t="n">
        <x:f>'Raw Data'!A212</x:f>
        <x:v>2</x:v>
      </x:c>
      <x:c r="C212" s="38" t="n">
        <x:f>'Raw Data'!B212</x:f>
        <x:v>1</x:v>
      </x:c>
      <x:c r="D212" s="10" t="n">
        <x:f>'Raw Data'!C212</x:f>
        <x:v>5550</x:v>
      </x:c>
      <x:c r="E212" s="10" t="n">
        <x:f>'Raw Data'!D212</x:f>
        <x:v>12729</x:v>
      </x:c>
      <x:c r="F212" s="10" t="n">
        <x:f>'Raw Data'!E212</x:f>
        <x:v>16767</x:v>
      </x:c>
      <x:c r="G212" s="10" t="n">
        <x:f>'Raw Data'!F212</x:f>
        <x:v>864</x:v>
      </x:c>
      <x:c r="H212" s="10" t="n">
        <x:f>'Raw Data'!G212</x:f>
        <x:v>12420</x:v>
      </x:c>
      <x:c r="I212" s="10" t="n">
        <x:f>'Raw Data'!H212</x:f>
        <x:v>797</x:v>
      </x:c>
      <x:c r="J212" s="10" t="str">
        <x:f>VLOOKUP(B212,'Lookups &amp; Notes'!$A$4:$B$5,2,FALSE)</x:f>
        <x:v>Retail</x:v>
      </x:c>
      <x:c r="K212" s="10" t="str">
        <x:f>VLOOKUP(C212,'Lookups &amp; Notes'!$A$8:$B$10,2,FALSE)</x:f>
        <x:v>Lisbon</x:v>
      </x:c>
      <x:c r="L212" s="10" t="n">
        <x:f>SUM(D212:I212)</x:f>
        <x:v>49127</x:v>
      </x:c>
      <x:c r="M212" s="39" t="n">
        <x:f>IFERROR(F212/L212,0)</x:f>
        <x:v>0.34129908197121744</x:v>
      </x:c>
      <x:c r="N212" s="38" t="str">
        <x:f>IF(L212&gt;='Lookups &amp; Notes'!$E$4,"High Value","Standard")</x:f>
        <x:v>High Value</x:v>
      </x:c>
    </x:row>
    <x:row r="213">
      <x:c r="A213" s="38" t="str">
        <x:v>CUST-211</x:v>
      </x:c>
      <x:c r="B213" s="38" t="n">
        <x:f>'Raw Data'!A213</x:f>
        <x:v>1</x:v>
      </x:c>
      <x:c r="C213" s="38" t="n">
        <x:f>'Raw Data'!B213</x:f>
        <x:v>1</x:v>
      </x:c>
      <x:c r="D213" s="10" t="n">
        <x:f>'Raw Data'!C213</x:f>
        <x:v>18567</x:v>
      </x:c>
      <x:c r="E213" s="10" t="n">
        <x:f>'Raw Data'!D213</x:f>
        <x:v>1895</x:v>
      </x:c>
      <x:c r="F213" s="10" t="n">
        <x:f>'Raw Data'!E213</x:f>
        <x:v>1393</x:v>
      </x:c>
      <x:c r="G213" s="10" t="n">
        <x:f>'Raw Data'!F213</x:f>
        <x:v>1801</x:v>
      </x:c>
      <x:c r="H213" s="10" t="n">
        <x:f>'Raw Data'!G213</x:f>
        <x:v>244</x:v>
      </x:c>
      <x:c r="I213" s="10" t="n">
        <x:f>'Raw Data'!H213</x:f>
        <x:v>2100</x:v>
      </x:c>
      <x:c r="J213" s="10" t="str">
        <x:f>VLOOKUP(B213,'Lookups &amp; Notes'!$A$4:$B$5,2,FALSE)</x:f>
        <x:v>Horeca</x:v>
      </x:c>
      <x:c r="K213" s="10" t="str">
        <x:f>VLOOKUP(C213,'Lookups &amp; Notes'!$A$8:$B$10,2,FALSE)</x:f>
        <x:v>Lisbon</x:v>
      </x:c>
      <x:c r="L213" s="10" t="n">
        <x:f>SUM(D213:I213)</x:f>
        <x:v>26000</x:v>
      </x:c>
      <x:c r="M213" s="39" t="n">
        <x:f>IFERROR(F213/L213,0)</x:f>
        <x:v>0.05357692307692308</x:v>
      </x:c>
      <x:c r="N213" s="38" t="str">
        <x:f>IF(L213&gt;='Lookups &amp; Notes'!$E$4,"High Value","Standard")</x:f>
        <x:v>Standard</x:v>
      </x:c>
    </x:row>
    <x:row r="214">
      <x:c r="A214" s="38" t="str">
        <x:v>CUST-212</x:v>
      </x:c>
      <x:c r="B214" s="38" t="n">
        <x:f>'Raw Data'!A214</x:f>
        <x:v>2</x:v>
      </x:c>
      <x:c r="C214" s="38" t="n">
        <x:f>'Raw Data'!B214</x:f>
        <x:v>1</x:v>
      </x:c>
      <x:c r="D214" s="10" t="n">
        <x:f>'Raw Data'!C214</x:f>
        <x:v>12119</x:v>
      </x:c>
      <x:c r="E214" s="10" t="n">
        <x:f>'Raw Data'!D214</x:f>
        <x:v>28326</x:v>
      </x:c>
      <x:c r="F214" s="10" t="n">
        <x:f>'Raw Data'!E214</x:f>
        <x:v>39694</x:v>
      </x:c>
      <x:c r="G214" s="10" t="n">
        <x:f>'Raw Data'!F214</x:f>
        <x:v>4736</x:v>
      </x:c>
      <x:c r="H214" s="10" t="n">
        <x:f>'Raw Data'!G214</x:f>
        <x:v>19410</x:v>
      </x:c>
      <x:c r="I214" s="10" t="n">
        <x:f>'Raw Data'!H214</x:f>
        <x:v>2870</x:v>
      </x:c>
      <x:c r="J214" s="10" t="str">
        <x:f>VLOOKUP(B214,'Lookups &amp; Notes'!$A$4:$B$5,2,FALSE)</x:f>
        <x:v>Retail</x:v>
      </x:c>
      <x:c r="K214" s="10" t="str">
        <x:f>VLOOKUP(C214,'Lookups &amp; Notes'!$A$8:$B$10,2,FALSE)</x:f>
        <x:v>Lisbon</x:v>
      </x:c>
      <x:c r="L214" s="10" t="n">
        <x:f>SUM(D214:I214)</x:f>
        <x:v>107155</x:v>
      </x:c>
      <x:c r="M214" s="39" t="n">
        <x:f>IFERROR(F214/L214,0)</x:f>
        <x:v>0.3704353506602585</x:v>
      </x:c>
      <x:c r="N214" s="38" t="str">
        <x:f>IF(L214&gt;='Lookups &amp; Notes'!$E$4,"High Value","Standard")</x:f>
        <x:v>High Value</x:v>
      </x:c>
    </x:row>
    <x:row r="215">
      <x:c r="A215" s="38" t="str">
        <x:v>CUST-213</x:v>
      </x:c>
      <x:c r="B215" s="38" t="n">
        <x:f>'Raw Data'!A215</x:f>
        <x:v>1</x:v>
      </x:c>
      <x:c r="C215" s="38" t="n">
        <x:f>'Raw Data'!B215</x:f>
        <x:v>1</x:v>
      </x:c>
      <x:c r="D215" s="10" t="n">
        <x:f>'Raw Data'!C215</x:f>
        <x:v>7291</x:v>
      </x:c>
      <x:c r="E215" s="10" t="n">
        <x:f>'Raw Data'!D215</x:f>
        <x:v>1012</x:v>
      </x:c>
      <x:c r="F215" s="10" t="n">
        <x:f>'Raw Data'!E215</x:f>
        <x:v>2062</x:v>
      </x:c>
      <x:c r="G215" s="10" t="n">
        <x:f>'Raw Data'!F215</x:f>
        <x:v>1291</x:v>
      </x:c>
      <x:c r="H215" s="10" t="n">
        <x:f>'Raw Data'!G215</x:f>
        <x:v>240</x:v>
      </x:c>
      <x:c r="I215" s="10" t="n">
        <x:f>'Raw Data'!H215</x:f>
        <x:v>1775</x:v>
      </x:c>
      <x:c r="J215" s="10" t="str">
        <x:f>VLOOKUP(B215,'Lookups &amp; Notes'!$A$4:$B$5,2,FALSE)</x:f>
        <x:v>Horeca</x:v>
      </x:c>
      <x:c r="K215" s="10" t="str">
        <x:f>VLOOKUP(C215,'Lookups &amp; Notes'!$A$8:$B$10,2,FALSE)</x:f>
        <x:v>Lisbon</x:v>
      </x:c>
      <x:c r="L215" s="10" t="n">
        <x:f>SUM(D215:I215)</x:f>
        <x:v>13671</x:v>
      </x:c>
      <x:c r="M215" s="39" t="n">
        <x:f>IFERROR(F215/L215,0)</x:f>
        <x:v>0.15083022456294345</x:v>
      </x:c>
      <x:c r="N215" s="38" t="str">
        <x:f>IF(L215&gt;='Lookups &amp; Notes'!$E$4,"High Value","Standard")</x:f>
        <x:v>Standard</x:v>
      </x:c>
    </x:row>
    <x:row r="216">
      <x:c r="A216" s="38" t="str">
        <x:v>CUST-214</x:v>
      </x:c>
      <x:c r="B216" s="38" t="n">
        <x:f>'Raw Data'!A216</x:f>
        <x:v>1</x:v>
      </x:c>
      <x:c r="C216" s="38" t="n">
        <x:f>'Raw Data'!B216</x:f>
        <x:v>1</x:v>
      </x:c>
      <x:c r="D216" s="10" t="n">
        <x:f>'Raw Data'!C216</x:f>
        <x:v>3317</x:v>
      </x:c>
      <x:c r="E216" s="10" t="n">
        <x:f>'Raw Data'!D216</x:f>
        <x:v>6602</x:v>
      </x:c>
      <x:c r="F216" s="10" t="n">
        <x:f>'Raw Data'!E216</x:f>
        <x:v>6861</x:v>
      </x:c>
      <x:c r="G216" s="10" t="n">
        <x:f>'Raw Data'!F216</x:f>
        <x:v>1329</x:v>
      </x:c>
      <x:c r="H216" s="10" t="n">
        <x:f>'Raw Data'!G216</x:f>
        <x:v>3961</x:v>
      </x:c>
      <x:c r="I216" s="10" t="n">
        <x:f>'Raw Data'!H216</x:f>
        <x:v>1215</x:v>
      </x:c>
      <x:c r="J216" s="10" t="str">
        <x:f>VLOOKUP(B216,'Lookups &amp; Notes'!$A$4:$B$5,2,FALSE)</x:f>
        <x:v>Horeca</x:v>
      </x:c>
      <x:c r="K216" s="10" t="str">
        <x:f>VLOOKUP(C216,'Lookups &amp; Notes'!$A$8:$B$10,2,FALSE)</x:f>
        <x:v>Lisbon</x:v>
      </x:c>
      <x:c r="L216" s="10" t="n">
        <x:f>SUM(D216:I216)</x:f>
        <x:v>23285</x:v>
      </x:c>
      <x:c r="M216" s="39" t="n">
        <x:f>IFERROR(F216/L216,0)</x:f>
        <x:v>0.2946532102211724</x:v>
      </x:c>
      <x:c r="N216" s="38" t="str">
        <x:f>IF(L216&gt;='Lookups &amp; Notes'!$E$4,"High Value","Standard")</x:f>
        <x:v>Standard</x:v>
      </x:c>
    </x:row>
    <x:row r="217">
      <x:c r="A217" s="38" t="str">
        <x:v>CUST-215</x:v>
      </x:c>
      <x:c r="B217" s="38" t="n">
        <x:f>'Raw Data'!A217</x:f>
        <x:v>2</x:v>
      </x:c>
      <x:c r="C217" s="38" t="n">
        <x:f>'Raw Data'!B217</x:f>
        <x:v>1</x:v>
      </x:c>
      <x:c r="D217" s="10" t="n">
        <x:f>'Raw Data'!C217</x:f>
        <x:v>2362</x:v>
      </x:c>
      <x:c r="E217" s="10" t="n">
        <x:f>'Raw Data'!D217</x:f>
        <x:v>6551</x:v>
      </x:c>
      <x:c r="F217" s="10" t="n">
        <x:f>'Raw Data'!E217</x:f>
        <x:v>11364</x:v>
      </x:c>
      <x:c r="G217" s="10" t="n">
        <x:f>'Raw Data'!F217</x:f>
        <x:v>913</x:v>
      </x:c>
      <x:c r="H217" s="10" t="n">
        <x:f>'Raw Data'!G217</x:f>
        <x:v>5957</x:v>
      </x:c>
      <x:c r="I217" s="10" t="n">
        <x:f>'Raw Data'!H217</x:f>
        <x:v>791</x:v>
      </x:c>
      <x:c r="J217" s="10" t="str">
        <x:f>VLOOKUP(B217,'Lookups &amp; Notes'!$A$4:$B$5,2,FALSE)</x:f>
        <x:v>Retail</x:v>
      </x:c>
      <x:c r="K217" s="10" t="str">
        <x:f>VLOOKUP(C217,'Lookups &amp; Notes'!$A$8:$B$10,2,FALSE)</x:f>
        <x:v>Lisbon</x:v>
      </x:c>
      <x:c r="L217" s="10" t="n">
        <x:f>SUM(D217:I217)</x:f>
        <x:v>27938</x:v>
      </x:c>
      <x:c r="M217" s="39" t="n">
        <x:f>IFERROR(F217/L217,0)</x:f>
        <x:v>0.4067578208891116</x:v>
      </x:c>
      <x:c r="N217" s="38" t="str">
        <x:f>IF(L217&gt;='Lookups &amp; Notes'!$E$4,"High Value","Standard")</x:f>
        <x:v>High Value</x:v>
      </x:c>
    </x:row>
    <x:row r="218">
      <x:c r="A218" s="38" t="str">
        <x:v>CUST-216</x:v>
      </x:c>
      <x:c r="B218" s="38" t="n">
        <x:f>'Raw Data'!A218</x:f>
        <x:v>1</x:v>
      </x:c>
      <x:c r="C218" s="38" t="n">
        <x:f>'Raw Data'!B218</x:f>
        <x:v>1</x:v>
      </x:c>
      <x:c r="D218" s="10" t="n">
        <x:f>'Raw Data'!C218</x:f>
        <x:v>2806</x:v>
      </x:c>
      <x:c r="E218" s="10" t="n">
        <x:f>'Raw Data'!D218</x:f>
        <x:v>10765</x:v>
      </x:c>
      <x:c r="F218" s="10" t="n">
        <x:f>'Raw Data'!E218</x:f>
        <x:v>15538</x:v>
      </x:c>
      <x:c r="G218" s="10" t="n">
        <x:f>'Raw Data'!F218</x:f>
        <x:v>1374</x:v>
      </x:c>
      <x:c r="H218" s="10" t="n">
        <x:f>'Raw Data'!G218</x:f>
        <x:v>5828</x:v>
      </x:c>
      <x:c r="I218" s="10" t="n">
        <x:f>'Raw Data'!H218</x:f>
        <x:v>2388</x:v>
      </x:c>
      <x:c r="J218" s="10" t="str">
        <x:f>VLOOKUP(B218,'Lookups &amp; Notes'!$A$4:$B$5,2,FALSE)</x:f>
        <x:v>Horeca</x:v>
      </x:c>
      <x:c r="K218" s="10" t="str">
        <x:f>VLOOKUP(C218,'Lookups &amp; Notes'!$A$8:$B$10,2,FALSE)</x:f>
        <x:v>Lisbon</x:v>
      </x:c>
      <x:c r="L218" s="10" t="n">
        <x:f>SUM(D218:I218)</x:f>
        <x:v>38699</x:v>
      </x:c>
      <x:c r="M218" s="39" t="n">
        <x:f>IFERROR(F218/L218,0)</x:f>
        <x:v>0.40150908292203935</x:v>
      </x:c>
      <x:c r="N218" s="38" t="str">
        <x:f>IF(L218&gt;='Lookups &amp; Notes'!$E$4,"High Value","Standard")</x:f>
        <x:v>High Value</x:v>
      </x:c>
    </x:row>
    <x:row r="219">
      <x:c r="A219" s="38" t="str">
        <x:v>CUST-217</x:v>
      </x:c>
      <x:c r="B219" s="38" t="n">
        <x:f>'Raw Data'!A219</x:f>
        <x:v>2</x:v>
      </x:c>
      <x:c r="C219" s="38" t="n">
        <x:f>'Raw Data'!B219</x:f>
        <x:v>1</x:v>
      </x:c>
      <x:c r="D219" s="10" t="n">
        <x:f>'Raw Data'!C219</x:f>
        <x:v>2532</x:v>
      </x:c>
      <x:c r="E219" s="10" t="n">
        <x:f>'Raw Data'!D219</x:f>
        <x:v>16599</x:v>
      </x:c>
      <x:c r="F219" s="10" t="n">
        <x:f>'Raw Data'!E219</x:f>
        <x:v>36486</x:v>
      </x:c>
      <x:c r="G219" s="10" t="n">
        <x:f>'Raw Data'!F219</x:f>
        <x:v>179</x:v>
      </x:c>
      <x:c r="H219" s="10" t="n">
        <x:f>'Raw Data'!G219</x:f>
        <x:v>13308</x:v>
      </x:c>
      <x:c r="I219" s="10" t="n">
        <x:f>'Raw Data'!H219</x:f>
        <x:v>674</x:v>
      </x:c>
      <x:c r="J219" s="10" t="str">
        <x:f>VLOOKUP(B219,'Lookups &amp; Notes'!$A$4:$B$5,2,FALSE)</x:f>
        <x:v>Retail</x:v>
      </x:c>
      <x:c r="K219" s="10" t="str">
        <x:f>VLOOKUP(C219,'Lookups &amp; Notes'!$A$8:$B$10,2,FALSE)</x:f>
        <x:v>Lisbon</x:v>
      </x:c>
      <x:c r="L219" s="10" t="n">
        <x:f>SUM(D219:I219)</x:f>
        <x:v>69778</x:v>
      </x:c>
      <x:c r="M219" s="39" t="n">
        <x:f>IFERROR(F219/L219,0)</x:f>
        <x:v>0.5228868697870389</x:v>
      </x:c>
      <x:c r="N219" s="38" t="str">
        <x:f>IF(L219&gt;='Lookups &amp; Notes'!$E$4,"High Value","Standard")</x:f>
        <x:v>High Value</x:v>
      </x:c>
    </x:row>
    <x:row r="220">
      <x:c r="A220" s="38" t="str">
        <x:v>CUST-218</x:v>
      </x:c>
      <x:c r="B220" s="38" t="n">
        <x:f>'Raw Data'!A220</x:f>
        <x:v>1</x:v>
      </x:c>
      <x:c r="C220" s="38" t="n">
        <x:f>'Raw Data'!B220</x:f>
        <x:v>1</x:v>
      </x:c>
      <x:c r="D220" s="10" t="n">
        <x:f>'Raw Data'!C220</x:f>
        <x:v>18044</x:v>
      </x:c>
      <x:c r="E220" s="10" t="n">
        <x:f>'Raw Data'!D220</x:f>
        <x:v>1475</x:v>
      </x:c>
      <x:c r="F220" s="10" t="n">
        <x:f>'Raw Data'!E220</x:f>
        <x:v>2046</x:v>
      </x:c>
      <x:c r="G220" s="10" t="n">
        <x:f>'Raw Data'!F220</x:f>
        <x:v>2532</x:v>
      </x:c>
      <x:c r="H220" s="10" t="n">
        <x:f>'Raw Data'!G220</x:f>
        <x:v>130</x:v>
      </x:c>
      <x:c r="I220" s="10" t="n">
        <x:f>'Raw Data'!H220</x:f>
        <x:v>1158</x:v>
      </x:c>
      <x:c r="J220" s="10" t="str">
        <x:f>VLOOKUP(B220,'Lookups &amp; Notes'!$A$4:$B$5,2,FALSE)</x:f>
        <x:v>Horeca</x:v>
      </x:c>
      <x:c r="K220" s="10" t="str">
        <x:f>VLOOKUP(C220,'Lookups &amp; Notes'!$A$8:$B$10,2,FALSE)</x:f>
        <x:v>Lisbon</x:v>
      </x:c>
      <x:c r="L220" s="10" t="n">
        <x:f>SUM(D220:I220)</x:f>
        <x:v>25385</x:v>
      </x:c>
      <x:c r="M220" s="39" t="n">
        <x:f>IFERROR(F220/L220,0)</x:f>
        <x:v>0.08059877880638172</x:v>
      </x:c>
      <x:c r="N220" s="38" t="str">
        <x:f>IF(L220&gt;='Lookups &amp; Notes'!$E$4,"High Value","Standard")</x:f>
        <x:v>Standard</x:v>
      </x:c>
    </x:row>
    <x:row r="221">
      <x:c r="A221" s="38" t="str">
        <x:v>CUST-219</x:v>
      </x:c>
      <x:c r="B221" s="38" t="n">
        <x:f>'Raw Data'!A221</x:f>
        <x:v>2</x:v>
      </x:c>
      <x:c r="C221" s="38" t="n">
        <x:f>'Raw Data'!B221</x:f>
        <x:v>1</x:v>
      </x:c>
      <x:c r="D221" s="10" t="n">
        <x:f>'Raw Data'!C221</x:f>
        <x:v>18</x:v>
      </x:c>
      <x:c r="E221" s="10" t="n">
        <x:f>'Raw Data'!D221</x:f>
        <x:v>7504</x:v>
      </x:c>
      <x:c r="F221" s="10" t="n">
        <x:f>'Raw Data'!E221</x:f>
        <x:v>15205</x:v>
      </x:c>
      <x:c r="G221" s="10" t="n">
        <x:f>'Raw Data'!F221</x:f>
        <x:v>1285</x:v>
      </x:c>
      <x:c r="H221" s="10" t="n">
        <x:f>'Raw Data'!G221</x:f>
        <x:v>4797</x:v>
      </x:c>
      <x:c r="I221" s="10" t="n">
        <x:f>'Raw Data'!H221</x:f>
        <x:v>6372</x:v>
      </x:c>
      <x:c r="J221" s="10" t="str">
        <x:f>VLOOKUP(B221,'Lookups &amp; Notes'!$A$4:$B$5,2,FALSE)</x:f>
        <x:v>Retail</x:v>
      </x:c>
      <x:c r="K221" s="10" t="str">
        <x:f>VLOOKUP(C221,'Lookups &amp; Notes'!$A$8:$B$10,2,FALSE)</x:f>
        <x:v>Lisbon</x:v>
      </x:c>
      <x:c r="L221" s="10" t="n">
        <x:f>SUM(D221:I221)</x:f>
        <x:v>35181</x:v>
      </x:c>
      <x:c r="M221" s="39" t="n">
        <x:f>IFERROR(F221/L221,0)</x:f>
        <x:v>0.4321935135442426</x:v>
      </x:c>
      <x:c r="N221" s="38" t="str">
        <x:f>IF(L221&gt;='Lookups &amp; Notes'!$E$4,"High Value","Standard")</x:f>
        <x:v>High Value</x:v>
      </x:c>
    </x:row>
    <x:row r="222">
      <x:c r="A222" s="38" t="str">
        <x:v>CUST-220</x:v>
      </x:c>
      <x:c r="B222" s="38" t="n">
        <x:f>'Raw Data'!A222</x:f>
        <x:v>1</x:v>
      </x:c>
      <x:c r="C222" s="38" t="n">
        <x:f>'Raw Data'!B222</x:f>
        <x:v>1</x:v>
      </x:c>
      <x:c r="D222" s="10" t="n">
        <x:f>'Raw Data'!C222</x:f>
        <x:v>4155</x:v>
      </x:c>
      <x:c r="E222" s="10" t="n">
        <x:f>'Raw Data'!D222</x:f>
        <x:v>367</x:v>
      </x:c>
      <x:c r="F222" s="10" t="n">
        <x:f>'Raw Data'!E222</x:f>
        <x:v>1390</x:v>
      </x:c>
      <x:c r="G222" s="10" t="n">
        <x:f>'Raw Data'!F222</x:f>
        <x:v>2306</x:v>
      </x:c>
      <x:c r="H222" s="10" t="n">
        <x:f>'Raw Data'!G222</x:f>
        <x:v>86</x:v>
      </x:c>
      <x:c r="I222" s="10" t="n">
        <x:f>'Raw Data'!H222</x:f>
        <x:v>130</x:v>
      </x:c>
      <x:c r="J222" s="10" t="str">
        <x:f>VLOOKUP(B222,'Lookups &amp; Notes'!$A$4:$B$5,2,FALSE)</x:f>
        <x:v>Horeca</x:v>
      </x:c>
      <x:c r="K222" s="10" t="str">
        <x:f>VLOOKUP(C222,'Lookups &amp; Notes'!$A$8:$B$10,2,FALSE)</x:f>
        <x:v>Lisbon</x:v>
      </x:c>
      <x:c r="L222" s="10" t="n">
        <x:f>SUM(D222:I222)</x:f>
        <x:v>8434</x:v>
      </x:c>
      <x:c r="M222" s="39" t="n">
        <x:f>IFERROR(F222/L222,0)</x:f>
        <x:v>0.16480910599952572</x:v>
      </x:c>
      <x:c r="N222" s="38" t="str">
        <x:f>IF(L222&gt;='Lookups &amp; Notes'!$E$4,"High Value","Standard")</x:f>
        <x:v>Standard</x:v>
      </x:c>
    </x:row>
    <x:row r="223">
      <x:c r="A223" s="38" t="str">
        <x:v>CUST-221</x:v>
      </x:c>
      <x:c r="B223" s="38" t="n">
        <x:f>'Raw Data'!A223</x:f>
        <x:v>1</x:v>
      </x:c>
      <x:c r="C223" s="38" t="n">
        <x:f>'Raw Data'!B223</x:f>
        <x:v>1</x:v>
      </x:c>
      <x:c r="D223" s="10" t="n">
        <x:f>'Raw Data'!C223</x:f>
        <x:v>14755</x:v>
      </x:c>
      <x:c r="E223" s="10" t="n">
        <x:f>'Raw Data'!D223</x:f>
        <x:v>899</x:v>
      </x:c>
      <x:c r="F223" s="10" t="n">
        <x:f>'Raw Data'!E223</x:f>
        <x:v>1382</x:v>
      </x:c>
      <x:c r="G223" s="10" t="n">
        <x:f>'Raw Data'!F223</x:f>
        <x:v>1765</x:v>
      </x:c>
      <x:c r="H223" s="10" t="n">
        <x:f>'Raw Data'!G223</x:f>
        <x:v>56</x:v>
      </x:c>
      <x:c r="I223" s="10" t="n">
        <x:f>'Raw Data'!H223</x:f>
        <x:v>749</x:v>
      </x:c>
      <x:c r="J223" s="10" t="str">
        <x:f>VLOOKUP(B223,'Lookups &amp; Notes'!$A$4:$B$5,2,FALSE)</x:f>
        <x:v>Horeca</x:v>
      </x:c>
      <x:c r="K223" s="10" t="str">
        <x:f>VLOOKUP(C223,'Lookups &amp; Notes'!$A$8:$B$10,2,FALSE)</x:f>
        <x:v>Lisbon</x:v>
      </x:c>
      <x:c r="L223" s="10" t="n">
        <x:f>SUM(D223:I223)</x:f>
        <x:v>19606</x:v>
      </x:c>
      <x:c r="M223" s="39" t="n">
        <x:f>IFERROR(F223/L223,0)</x:f>
        <x:v>0.0704886259308375</x:v>
      </x:c>
      <x:c r="N223" s="38" t="str">
        <x:f>IF(L223&gt;='Lookups &amp; Notes'!$E$4,"High Value","Standard")</x:f>
        <x:v>Standard</x:v>
      </x:c>
    </x:row>
    <x:row r="224">
      <x:c r="A224" s="38" t="str">
        <x:v>CUST-222</x:v>
      </x:c>
      <x:c r="B224" s="38" t="n">
        <x:f>'Raw Data'!A224</x:f>
        <x:v>1</x:v>
      </x:c>
      <x:c r="C224" s="38" t="n">
        <x:f>'Raw Data'!B224</x:f>
        <x:v>1</x:v>
      </x:c>
      <x:c r="D224" s="10" t="n">
        <x:f>'Raw Data'!C224</x:f>
        <x:v>5396</x:v>
      </x:c>
      <x:c r="E224" s="10" t="n">
        <x:f>'Raw Data'!D224</x:f>
        <x:v>7503</x:v>
      </x:c>
      <x:c r="F224" s="10" t="n">
        <x:f>'Raw Data'!E224</x:f>
        <x:v>10646</x:v>
      </x:c>
      <x:c r="G224" s="10" t="n">
        <x:f>'Raw Data'!F224</x:f>
        <x:v>91</x:v>
      </x:c>
      <x:c r="H224" s="10" t="n">
        <x:f>'Raw Data'!G224</x:f>
        <x:v>4167</x:v>
      </x:c>
      <x:c r="I224" s="10" t="n">
        <x:f>'Raw Data'!H224</x:f>
        <x:v>239</x:v>
      </x:c>
      <x:c r="J224" s="10" t="str">
        <x:f>VLOOKUP(B224,'Lookups &amp; Notes'!$A$4:$B$5,2,FALSE)</x:f>
        <x:v>Horeca</x:v>
      </x:c>
      <x:c r="K224" s="10" t="str">
        <x:f>VLOOKUP(C224,'Lookups &amp; Notes'!$A$8:$B$10,2,FALSE)</x:f>
        <x:v>Lisbon</x:v>
      </x:c>
      <x:c r="L224" s="10" t="n">
        <x:f>SUM(D224:I224)</x:f>
        <x:v>28042</x:v>
      </x:c>
      <x:c r="M224" s="39" t="n">
        <x:f>IFERROR(F224/L224,0)</x:f>
        <x:v>0.3796448184865559</x:v>
      </x:c>
      <x:c r="N224" s="38" t="str">
        <x:f>IF(L224&gt;='Lookups &amp; Notes'!$E$4,"High Value","Standard")</x:f>
        <x:v>High Value</x:v>
      </x:c>
    </x:row>
    <x:row r="225">
      <x:c r="A225" s="38" t="str">
        <x:v>CUST-223</x:v>
      </x:c>
      <x:c r="B225" s="38" t="n">
        <x:f>'Raw Data'!A225</x:f>
        <x:v>1</x:v>
      </x:c>
      <x:c r="C225" s="38" t="n">
        <x:f>'Raw Data'!B225</x:f>
        <x:v>1</x:v>
      </x:c>
      <x:c r="D225" s="10" t="n">
        <x:f>'Raw Data'!C225</x:f>
        <x:v>5041</x:v>
      </x:c>
      <x:c r="E225" s="10" t="n">
        <x:f>'Raw Data'!D225</x:f>
        <x:v>1115</x:v>
      </x:c>
      <x:c r="F225" s="10" t="n">
        <x:f>'Raw Data'!E225</x:f>
        <x:v>2856</x:v>
      </x:c>
      <x:c r="G225" s="10" t="n">
        <x:f>'Raw Data'!F225</x:f>
        <x:v>7496</x:v>
      </x:c>
      <x:c r="H225" s="10" t="n">
        <x:f>'Raw Data'!G225</x:f>
        <x:v>256</x:v>
      </x:c>
      <x:c r="I225" s="10" t="n">
        <x:f>'Raw Data'!H225</x:f>
        <x:v>375</x:v>
      </x:c>
      <x:c r="J225" s="10" t="str">
        <x:f>VLOOKUP(B225,'Lookups &amp; Notes'!$A$4:$B$5,2,FALSE)</x:f>
        <x:v>Horeca</x:v>
      </x:c>
      <x:c r="K225" s="10" t="str">
        <x:f>VLOOKUP(C225,'Lookups &amp; Notes'!$A$8:$B$10,2,FALSE)</x:f>
        <x:v>Lisbon</x:v>
      </x:c>
      <x:c r="L225" s="10" t="n">
        <x:f>SUM(D225:I225)</x:f>
        <x:v>17139</x:v>
      </x:c>
      <x:c r="M225" s="39" t="n">
        <x:f>IFERROR(F225/L225,0)</x:f>
        <x:v>0.1666374934360231</x:v>
      </x:c>
      <x:c r="N225" s="38" t="str">
        <x:f>IF(L225&gt;='Lookups &amp; Notes'!$E$4,"High Value","Standard")</x:f>
        <x:v>Standard</x:v>
      </x:c>
    </x:row>
    <x:row r="226">
      <x:c r="A226" s="38" t="str">
        <x:v>CUST-224</x:v>
      </x:c>
      <x:c r="B226" s="38" t="n">
        <x:f>'Raw Data'!A226</x:f>
        <x:v>2</x:v>
      </x:c>
      <x:c r="C226" s="38" t="n">
        <x:f>'Raw Data'!B226</x:f>
        <x:v>1</x:v>
      </x:c>
      <x:c r="D226" s="10" t="n">
        <x:f>'Raw Data'!C226</x:f>
        <x:v>2790</x:v>
      </x:c>
      <x:c r="E226" s="10" t="n">
        <x:f>'Raw Data'!D226</x:f>
        <x:v>2527</x:v>
      </x:c>
      <x:c r="F226" s="10" t="n">
        <x:f>'Raw Data'!E226</x:f>
        <x:v>5265</x:v>
      </x:c>
      <x:c r="G226" s="10" t="n">
        <x:f>'Raw Data'!F226</x:f>
        <x:v>5612</x:v>
      </x:c>
      <x:c r="H226" s="10" t="n">
        <x:f>'Raw Data'!G226</x:f>
        <x:v>788</x:v>
      </x:c>
      <x:c r="I226" s="10" t="n">
        <x:f>'Raw Data'!H226</x:f>
        <x:v>1360</x:v>
      </x:c>
      <x:c r="J226" s="10" t="str">
        <x:f>VLOOKUP(B226,'Lookups &amp; Notes'!$A$4:$B$5,2,FALSE)</x:f>
        <x:v>Retail</x:v>
      </x:c>
      <x:c r="K226" s="10" t="str">
        <x:f>VLOOKUP(C226,'Lookups &amp; Notes'!$A$8:$B$10,2,FALSE)</x:f>
        <x:v>Lisbon</x:v>
      </x:c>
      <x:c r="L226" s="10" t="n">
        <x:f>SUM(D226:I226)</x:f>
        <x:v>18342</x:v>
      </x:c>
      <x:c r="M226" s="39" t="n">
        <x:f>IFERROR(F226/L226,0)</x:f>
        <x:v>0.28704612365063786</x:v>
      </x:c>
      <x:c r="N226" s="38" t="str">
        <x:f>IF(L226&gt;='Lookups &amp; Notes'!$E$4,"High Value","Standard")</x:f>
        <x:v>Standard</x:v>
      </x:c>
    </x:row>
    <x:row r="227">
      <x:c r="A227" s="38" t="str">
        <x:v>CUST-225</x:v>
      </x:c>
      <x:c r="B227" s="38" t="n">
        <x:f>'Raw Data'!A227</x:f>
        <x:v>1</x:v>
      </x:c>
      <x:c r="C227" s="38" t="n">
        <x:f>'Raw Data'!B227</x:f>
        <x:v>1</x:v>
      </x:c>
      <x:c r="D227" s="10" t="n">
        <x:f>'Raw Data'!C227</x:f>
        <x:v>7274</x:v>
      </x:c>
      <x:c r="E227" s="10" t="n">
        <x:f>'Raw Data'!D227</x:f>
        <x:v>659</x:v>
      </x:c>
      <x:c r="F227" s="10" t="n">
        <x:f>'Raw Data'!E227</x:f>
        <x:v>1499</x:v>
      </x:c>
      <x:c r="G227" s="10" t="n">
        <x:f>'Raw Data'!F227</x:f>
        <x:v>784</x:v>
      </x:c>
      <x:c r="H227" s="10" t="n">
        <x:f>'Raw Data'!G227</x:f>
        <x:v>70</x:v>
      </x:c>
      <x:c r="I227" s="10" t="n">
        <x:f>'Raw Data'!H227</x:f>
        <x:v>659</x:v>
      </x:c>
      <x:c r="J227" s="10" t="str">
        <x:f>VLOOKUP(B227,'Lookups &amp; Notes'!$A$4:$B$5,2,FALSE)</x:f>
        <x:v>Horeca</x:v>
      </x:c>
      <x:c r="K227" s="10" t="str">
        <x:f>VLOOKUP(C227,'Lookups &amp; Notes'!$A$8:$B$10,2,FALSE)</x:f>
        <x:v>Lisbon</x:v>
      </x:c>
      <x:c r="L227" s="10" t="n">
        <x:f>SUM(D227:I227)</x:f>
        <x:v>10945</x:v>
      </x:c>
      <x:c r="M227" s="39" t="n">
        <x:f>IFERROR(F227/L227,0)</x:f>
        <x:v>0.1369575148469621</x:v>
      </x:c>
      <x:c r="N227" s="38" t="str">
        <x:f>IF(L227&gt;='Lookups &amp; Notes'!$E$4,"High Value","Standard")</x:f>
        <x:v>Standard</x:v>
      </x:c>
    </x:row>
    <x:row r="228">
      <x:c r="A228" s="38" t="str">
        <x:v>CUST-226</x:v>
      </x:c>
      <x:c r="B228" s="38" t="n">
        <x:f>'Raw Data'!A228</x:f>
        <x:v>1</x:v>
      </x:c>
      <x:c r="C228" s="38" t="n">
        <x:f>'Raw Data'!B228</x:f>
        <x:v>1</x:v>
      </x:c>
      <x:c r="D228" s="10" t="n">
        <x:f>'Raw Data'!C228</x:f>
        <x:v>12680</x:v>
      </x:c>
      <x:c r="E228" s="10" t="n">
        <x:f>'Raw Data'!D228</x:f>
        <x:v>3243</x:v>
      </x:c>
      <x:c r="F228" s="10" t="n">
        <x:f>'Raw Data'!E228</x:f>
        <x:v>4157</x:v>
      </x:c>
      <x:c r="G228" s="10" t="n">
        <x:f>'Raw Data'!F228</x:f>
        <x:v>660</x:v>
      </x:c>
      <x:c r="H228" s="10" t="n">
        <x:f>'Raw Data'!G228</x:f>
        <x:v>761</x:v>
      </x:c>
      <x:c r="I228" s="10" t="n">
        <x:f>'Raw Data'!H228</x:f>
        <x:v>786</x:v>
      </x:c>
      <x:c r="J228" s="10" t="str">
        <x:f>VLOOKUP(B228,'Lookups &amp; Notes'!$A$4:$B$5,2,FALSE)</x:f>
        <x:v>Horeca</x:v>
      </x:c>
      <x:c r="K228" s="10" t="str">
        <x:f>VLOOKUP(C228,'Lookups &amp; Notes'!$A$8:$B$10,2,FALSE)</x:f>
        <x:v>Lisbon</x:v>
      </x:c>
      <x:c r="L228" s="10" t="n">
        <x:f>SUM(D228:I228)</x:f>
        <x:v>22287</x:v>
      </x:c>
      <x:c r="M228" s="39" t="n">
        <x:f>IFERROR(F228/L228,0)</x:f>
        <x:v>0.18652129043837215</x:v>
      </x:c>
      <x:c r="N228" s="38" t="str">
        <x:f>IF(L228&gt;='Lookups &amp; Notes'!$E$4,"High Value","Standard")</x:f>
        <x:v>Standard</x:v>
      </x:c>
    </x:row>
    <x:row r="229">
      <x:c r="A229" s="38" t="str">
        <x:v>CUST-227</x:v>
      </x:c>
      <x:c r="B229" s="38" t="n">
        <x:f>'Raw Data'!A229</x:f>
        <x:v>2</x:v>
      </x:c>
      <x:c r="C229" s="38" t="n">
        <x:f>'Raw Data'!B229</x:f>
        <x:v>1</x:v>
      </x:c>
      <x:c r="D229" s="10" t="n">
        <x:f>'Raw Data'!C229</x:f>
        <x:v>20782</x:v>
      </x:c>
      <x:c r="E229" s="10" t="n">
        <x:f>'Raw Data'!D229</x:f>
        <x:v>5921</x:v>
      </x:c>
      <x:c r="F229" s="10" t="n">
        <x:f>'Raw Data'!E229</x:f>
        <x:v>9212</x:v>
      </x:c>
      <x:c r="G229" s="10" t="n">
        <x:f>'Raw Data'!F229</x:f>
        <x:v>1759</x:v>
      </x:c>
      <x:c r="H229" s="10" t="n">
        <x:f>'Raw Data'!G229</x:f>
        <x:v>2568</x:v>
      </x:c>
      <x:c r="I229" s="10" t="n">
        <x:f>'Raw Data'!H229</x:f>
        <x:v>1553</x:v>
      </x:c>
      <x:c r="J229" s="10" t="str">
        <x:f>VLOOKUP(B229,'Lookups &amp; Notes'!$A$4:$B$5,2,FALSE)</x:f>
        <x:v>Retail</x:v>
      </x:c>
      <x:c r="K229" s="10" t="str">
        <x:f>VLOOKUP(C229,'Lookups &amp; Notes'!$A$8:$B$10,2,FALSE)</x:f>
        <x:v>Lisbon</x:v>
      </x:c>
      <x:c r="L229" s="10" t="n">
        <x:f>SUM(D229:I229)</x:f>
        <x:v>41795</x:v>
      </x:c>
      <x:c r="M229" s="39" t="n">
        <x:f>IFERROR(F229/L229,0)</x:f>
        <x:v>0.22040913984926427</x:v>
      </x:c>
      <x:c r="N229" s="38" t="str">
        <x:f>IF(L229&gt;='Lookups &amp; Notes'!$E$4,"High Value","Standard")</x:f>
        <x:v>High Value</x:v>
      </x:c>
    </x:row>
    <x:row r="230">
      <x:c r="A230" s="38" t="str">
        <x:v>CUST-228</x:v>
      </x:c>
      <x:c r="B230" s="38" t="n">
        <x:f>'Raw Data'!A230</x:f>
        <x:v>1</x:v>
      </x:c>
      <x:c r="C230" s="38" t="n">
        <x:f>'Raw Data'!B230</x:f>
        <x:v>1</x:v>
      </x:c>
      <x:c r="D230" s="10" t="n">
        <x:f>'Raw Data'!C230</x:f>
        <x:v>4042</x:v>
      </x:c>
      <x:c r="E230" s="10" t="n">
        <x:f>'Raw Data'!D230</x:f>
        <x:v>2204</x:v>
      </x:c>
      <x:c r="F230" s="10" t="n">
        <x:f>'Raw Data'!E230</x:f>
        <x:v>1563</x:v>
      </x:c>
      <x:c r="G230" s="10" t="n">
        <x:f>'Raw Data'!F230</x:f>
        <x:v>2286</x:v>
      </x:c>
      <x:c r="H230" s="10" t="n">
        <x:f>'Raw Data'!G230</x:f>
        <x:v>263</x:v>
      </x:c>
      <x:c r="I230" s="10" t="n">
        <x:f>'Raw Data'!H230</x:f>
        <x:v>689</x:v>
      </x:c>
      <x:c r="J230" s="10" t="str">
        <x:f>VLOOKUP(B230,'Lookups &amp; Notes'!$A$4:$B$5,2,FALSE)</x:f>
        <x:v>Horeca</x:v>
      </x:c>
      <x:c r="K230" s="10" t="str">
        <x:f>VLOOKUP(C230,'Lookups &amp; Notes'!$A$8:$B$10,2,FALSE)</x:f>
        <x:v>Lisbon</x:v>
      </x:c>
      <x:c r="L230" s="10" t="n">
        <x:f>SUM(D230:I230)</x:f>
        <x:v>11047</x:v>
      </x:c>
      <x:c r="M230" s="39" t="n">
        <x:f>IFERROR(F230/L230,0)</x:f>
        <x:v>0.14148637639178058</x:v>
      </x:c>
      <x:c r="N230" s="38" t="str">
        <x:f>IF(L230&gt;='Lookups &amp; Notes'!$E$4,"High Value","Standard")</x:f>
        <x:v>Standard</x:v>
      </x:c>
    </x:row>
    <x:row r="231">
      <x:c r="A231" s="38" t="str">
        <x:v>CUST-229</x:v>
      </x:c>
      <x:c r="B231" s="38" t="n">
        <x:f>'Raw Data'!A231</x:f>
        <x:v>1</x:v>
      </x:c>
      <x:c r="C231" s="38" t="n">
        <x:f>'Raw Data'!B231</x:f>
        <x:v>1</x:v>
      </x:c>
      <x:c r="D231" s="10" t="n">
        <x:f>'Raw Data'!C231</x:f>
        <x:v>1869</x:v>
      </x:c>
      <x:c r="E231" s="10" t="n">
        <x:f>'Raw Data'!D231</x:f>
        <x:v>577</x:v>
      </x:c>
      <x:c r="F231" s="10" t="n">
        <x:f>'Raw Data'!E231</x:f>
        <x:v>572</x:v>
      </x:c>
      <x:c r="G231" s="10" t="n">
        <x:f>'Raw Data'!F231</x:f>
        <x:v>950</x:v>
      </x:c>
      <x:c r="H231" s="10" t="n">
        <x:f>'Raw Data'!G231</x:f>
        <x:v>4762</x:v>
      </x:c>
      <x:c r="I231" s="10" t="n">
        <x:f>'Raw Data'!H231</x:f>
        <x:v>203</x:v>
      </x:c>
      <x:c r="J231" s="10" t="str">
        <x:f>VLOOKUP(B231,'Lookups &amp; Notes'!$A$4:$B$5,2,FALSE)</x:f>
        <x:v>Horeca</x:v>
      </x:c>
      <x:c r="K231" s="10" t="str">
        <x:f>VLOOKUP(C231,'Lookups &amp; Notes'!$A$8:$B$10,2,FALSE)</x:f>
        <x:v>Lisbon</x:v>
      </x:c>
      <x:c r="L231" s="10" t="n">
        <x:f>SUM(D231:I231)</x:f>
        <x:v>8933</x:v>
      </x:c>
      <x:c r="M231" s="39" t="n">
        <x:f>IFERROR(F231/L231,0)</x:f>
        <x:v>0.06403224000895556</x:v>
      </x:c>
      <x:c r="N231" s="38" t="str">
        <x:f>IF(L231&gt;='Lookups &amp; Notes'!$E$4,"High Value","Standard")</x:f>
        <x:v>Standard</x:v>
      </x:c>
    </x:row>
    <x:row r="232">
      <x:c r="A232" s="38" t="str">
        <x:v>CUST-230</x:v>
      </x:c>
      <x:c r="B232" s="38" t="n">
        <x:f>'Raw Data'!A232</x:f>
        <x:v>1</x:v>
      </x:c>
      <x:c r="C232" s="38" t="n">
        <x:f>'Raw Data'!B232</x:f>
        <x:v>1</x:v>
      </x:c>
      <x:c r="D232" s="10" t="n">
        <x:f>'Raw Data'!C232</x:f>
        <x:v>8656</x:v>
      </x:c>
      <x:c r="E232" s="10" t="n">
        <x:f>'Raw Data'!D232</x:f>
        <x:v>2746</x:v>
      </x:c>
      <x:c r="F232" s="10" t="n">
        <x:f>'Raw Data'!E232</x:f>
        <x:v>2501</x:v>
      </x:c>
      <x:c r="G232" s="10" t="n">
        <x:f>'Raw Data'!F232</x:f>
        <x:v>6845</x:v>
      </x:c>
      <x:c r="H232" s="10" t="n">
        <x:f>'Raw Data'!G232</x:f>
        <x:v>694</x:v>
      </x:c>
      <x:c r="I232" s="10" t="n">
        <x:f>'Raw Data'!H232</x:f>
        <x:v>980</x:v>
      </x:c>
      <x:c r="J232" s="10" t="str">
        <x:f>VLOOKUP(B232,'Lookups &amp; Notes'!$A$4:$B$5,2,FALSE)</x:f>
        <x:v>Horeca</x:v>
      </x:c>
      <x:c r="K232" s="10" t="str">
        <x:f>VLOOKUP(C232,'Lookups &amp; Notes'!$A$8:$B$10,2,FALSE)</x:f>
        <x:v>Lisbon</x:v>
      </x:c>
      <x:c r="L232" s="10" t="n">
        <x:f>SUM(D232:I232)</x:f>
        <x:v>22422</x:v>
      </x:c>
      <x:c r="M232" s="39" t="n">
        <x:f>IFERROR(F232/L232,0)</x:f>
        <x:v>0.11154223530461155</x:v>
      </x:c>
      <x:c r="N232" s="38" t="str">
        <x:f>IF(L232&gt;='Lookups &amp; Notes'!$E$4,"High Value","Standard")</x:f>
        <x:v>Standard</x:v>
      </x:c>
    </x:row>
    <x:row r="233">
      <x:c r="A233" s="38" t="str">
        <x:v>CUST-231</x:v>
      </x:c>
      <x:c r="B233" s="38" t="n">
        <x:f>'Raw Data'!A233</x:f>
        <x:v>2</x:v>
      </x:c>
      <x:c r="C233" s="38" t="n">
        <x:f>'Raw Data'!B233</x:f>
        <x:v>1</x:v>
      </x:c>
      <x:c r="D233" s="10" t="n">
        <x:f>'Raw Data'!C233</x:f>
        <x:v>11072</x:v>
      </x:c>
      <x:c r="E233" s="10" t="n">
        <x:f>'Raw Data'!D233</x:f>
        <x:v>5989</x:v>
      </x:c>
      <x:c r="F233" s="10" t="n">
        <x:f>'Raw Data'!E233</x:f>
        <x:v>5615</x:v>
      </x:c>
      <x:c r="G233" s="10" t="n">
        <x:f>'Raw Data'!F233</x:f>
        <x:v>8321</x:v>
      </x:c>
      <x:c r="H233" s="10" t="n">
        <x:f>'Raw Data'!G233</x:f>
        <x:v>955</x:v>
      </x:c>
      <x:c r="I233" s="10" t="n">
        <x:f>'Raw Data'!H233</x:f>
        <x:v>2137</x:v>
      </x:c>
      <x:c r="J233" s="10" t="str">
        <x:f>VLOOKUP(B233,'Lookups &amp; Notes'!$A$4:$B$5,2,FALSE)</x:f>
        <x:v>Retail</x:v>
      </x:c>
      <x:c r="K233" s="10" t="str">
        <x:f>VLOOKUP(C233,'Lookups &amp; Notes'!$A$8:$B$10,2,FALSE)</x:f>
        <x:v>Lisbon</x:v>
      </x:c>
      <x:c r="L233" s="10" t="n">
        <x:f>SUM(D233:I233)</x:f>
        <x:v>34089</x:v>
      </x:c>
      <x:c r="M233" s="39" t="n">
        <x:f>IFERROR(F233/L233,0)</x:f>
        <x:v>0.16471589075654902</x:v>
      </x:c>
      <x:c r="N233" s="38" t="str">
        <x:f>IF(L233&gt;='Lookups &amp; Notes'!$E$4,"High Value","Standard")</x:f>
        <x:v>High Value</x:v>
      </x:c>
    </x:row>
    <x:row r="234">
      <x:c r="A234" s="38" t="str">
        <x:v>CUST-232</x:v>
      </x:c>
      <x:c r="B234" s="38" t="n">
        <x:f>'Raw Data'!A234</x:f>
        <x:v>1</x:v>
      </x:c>
      <x:c r="C234" s="38" t="n">
        <x:f>'Raw Data'!B234</x:f>
        <x:v>1</x:v>
      </x:c>
      <x:c r="D234" s="10" t="n">
        <x:f>'Raw Data'!C234</x:f>
        <x:v>2344</x:v>
      </x:c>
      <x:c r="E234" s="10" t="n">
        <x:f>'Raw Data'!D234</x:f>
        <x:v>10678</x:v>
      </x:c>
      <x:c r="F234" s="10" t="n">
        <x:f>'Raw Data'!E234</x:f>
        <x:v>3828</x:v>
      </x:c>
      <x:c r="G234" s="10" t="n">
        <x:f>'Raw Data'!F234</x:f>
        <x:v>1439</x:v>
      </x:c>
      <x:c r="H234" s="10" t="n">
        <x:f>'Raw Data'!G234</x:f>
        <x:v>1566</x:v>
      </x:c>
      <x:c r="I234" s="10" t="n">
        <x:f>'Raw Data'!H234</x:f>
        <x:v>490</x:v>
      </x:c>
      <x:c r="J234" s="10" t="str">
        <x:f>VLOOKUP(B234,'Lookups &amp; Notes'!$A$4:$B$5,2,FALSE)</x:f>
        <x:v>Horeca</x:v>
      </x:c>
      <x:c r="K234" s="10" t="str">
        <x:f>VLOOKUP(C234,'Lookups &amp; Notes'!$A$8:$B$10,2,FALSE)</x:f>
        <x:v>Lisbon</x:v>
      </x:c>
      <x:c r="L234" s="10" t="n">
        <x:f>SUM(D234:I234)</x:f>
        <x:v>20345</x:v>
      </x:c>
      <x:c r="M234" s="39" t="n">
        <x:f>IFERROR(F234/L234,0)</x:f>
        <x:v>0.18815433767510445</x:v>
      </x:c>
      <x:c r="N234" s="38" t="str">
        <x:f>IF(L234&gt;='Lookups &amp; Notes'!$E$4,"High Value","Standard")</x:f>
        <x:v>Standard</x:v>
      </x:c>
    </x:row>
    <x:row r="235">
      <x:c r="A235" s="38" t="str">
        <x:v>CUST-233</x:v>
      </x:c>
      <x:c r="B235" s="38" t="n">
        <x:f>'Raw Data'!A235</x:f>
        <x:v>1</x:v>
      </x:c>
      <x:c r="C235" s="38" t="n">
        <x:f>'Raw Data'!B235</x:f>
        <x:v>1</x:v>
      </x:c>
      <x:c r="D235" s="10" t="n">
        <x:f>'Raw Data'!C235</x:f>
        <x:v>25962</x:v>
      </x:c>
      <x:c r="E235" s="10" t="n">
        <x:f>'Raw Data'!D235</x:f>
        <x:v>1780</x:v>
      </x:c>
      <x:c r="F235" s="10" t="n">
        <x:f>'Raw Data'!E235</x:f>
        <x:v>3838</x:v>
      </x:c>
      <x:c r="G235" s="10" t="n">
        <x:f>'Raw Data'!F235</x:f>
        <x:v>638</x:v>
      </x:c>
      <x:c r="H235" s="10" t="n">
        <x:f>'Raw Data'!G235</x:f>
        <x:v>284</x:v>
      </x:c>
      <x:c r="I235" s="10" t="n">
        <x:f>'Raw Data'!H235</x:f>
        <x:v>834</x:v>
      </x:c>
      <x:c r="J235" s="10" t="str">
        <x:f>VLOOKUP(B235,'Lookups &amp; Notes'!$A$4:$B$5,2,FALSE)</x:f>
        <x:v>Horeca</x:v>
      </x:c>
      <x:c r="K235" s="10" t="str">
        <x:f>VLOOKUP(C235,'Lookups &amp; Notes'!$A$8:$B$10,2,FALSE)</x:f>
        <x:v>Lisbon</x:v>
      </x:c>
      <x:c r="L235" s="10" t="n">
        <x:f>SUM(D235:I235)</x:f>
        <x:v>33336</x:v>
      </x:c>
      <x:c r="M235" s="39" t="n">
        <x:f>IFERROR(F235/L235,0)</x:f>
        <x:v>0.11513078953683706</x:v>
      </x:c>
      <x:c r="N235" s="38" t="str">
        <x:f>IF(L235&gt;='Lookups &amp; Notes'!$E$4,"High Value","Standard")</x:f>
        <x:v>High Value</x:v>
      </x:c>
    </x:row>
    <x:row r="236">
      <x:c r="A236" s="38" t="str">
        <x:v>CUST-234</x:v>
      </x:c>
      <x:c r="B236" s="38" t="n">
        <x:f>'Raw Data'!A236</x:f>
        <x:v>1</x:v>
      </x:c>
      <x:c r="C236" s="38" t="n">
        <x:f>'Raw Data'!B236</x:f>
        <x:v>1</x:v>
      </x:c>
      <x:c r="D236" s="10" t="n">
        <x:f>'Raw Data'!C236</x:f>
        <x:v>964</x:v>
      </x:c>
      <x:c r="E236" s="10" t="n">
        <x:f>'Raw Data'!D236</x:f>
        <x:v>4984</x:v>
      </x:c>
      <x:c r="F236" s="10" t="n">
        <x:f>'Raw Data'!E236</x:f>
        <x:v>3316</x:v>
      </x:c>
      <x:c r="G236" s="10" t="n">
        <x:f>'Raw Data'!F236</x:f>
        <x:v>937</x:v>
      </x:c>
      <x:c r="H236" s="10" t="n">
        <x:f>'Raw Data'!G236</x:f>
        <x:v>409</x:v>
      </x:c>
      <x:c r="I236" s="10" t="n">
        <x:f>'Raw Data'!H236</x:f>
        <x:v>7</x:v>
      </x:c>
      <x:c r="J236" s="10" t="str">
        <x:f>VLOOKUP(B236,'Lookups &amp; Notes'!$A$4:$B$5,2,FALSE)</x:f>
        <x:v>Horeca</x:v>
      </x:c>
      <x:c r="K236" s="10" t="str">
        <x:f>VLOOKUP(C236,'Lookups &amp; Notes'!$A$8:$B$10,2,FALSE)</x:f>
        <x:v>Lisbon</x:v>
      </x:c>
      <x:c r="L236" s="10" t="n">
        <x:f>SUM(D236:I236)</x:f>
        <x:v>10617</x:v>
      </x:c>
      <x:c r="M236" s="39" t="n">
        <x:f>IFERROR(F236/L236,0)</x:f>
        <x:v>0.31232928322501646</x:v>
      </x:c>
      <x:c r="N236" s="38" t="str">
        <x:f>IF(L236&gt;='Lookups &amp; Notes'!$E$4,"High Value","Standard")</x:f>
        <x:v>Standard</x:v>
      </x:c>
    </x:row>
    <x:row r="237">
      <x:c r="A237" s="38" t="str">
        <x:v>CUST-235</x:v>
      </x:c>
      <x:c r="B237" s="38" t="n">
        <x:f>'Raw Data'!A237</x:f>
        <x:v>1</x:v>
      </x:c>
      <x:c r="C237" s="38" t="n">
        <x:f>'Raw Data'!B237</x:f>
        <x:v>1</x:v>
      </x:c>
      <x:c r="D237" s="10" t="n">
        <x:f>'Raw Data'!C237</x:f>
        <x:v>15603</x:v>
      </x:c>
      <x:c r="E237" s="10" t="n">
        <x:f>'Raw Data'!D237</x:f>
        <x:v>2703</x:v>
      </x:c>
      <x:c r="F237" s="10" t="n">
        <x:f>'Raw Data'!E237</x:f>
        <x:v>3833</x:v>
      </x:c>
      <x:c r="G237" s="10" t="n">
        <x:f>'Raw Data'!F237</x:f>
        <x:v>4260</x:v>
      </x:c>
      <x:c r="H237" s="10" t="n">
        <x:f>'Raw Data'!G237</x:f>
        <x:v>325</x:v>
      </x:c>
      <x:c r="I237" s="10" t="n">
        <x:f>'Raw Data'!H237</x:f>
        <x:v>2563</x:v>
      </x:c>
      <x:c r="J237" s="10" t="str">
        <x:f>VLOOKUP(B237,'Lookups &amp; Notes'!$A$4:$B$5,2,FALSE)</x:f>
        <x:v>Horeca</x:v>
      </x:c>
      <x:c r="K237" s="10" t="str">
        <x:f>VLOOKUP(C237,'Lookups &amp; Notes'!$A$8:$B$10,2,FALSE)</x:f>
        <x:v>Lisbon</x:v>
      </x:c>
      <x:c r="L237" s="10" t="n">
        <x:f>SUM(D237:I237)</x:f>
        <x:v>29287</x:v>
      </x:c>
      <x:c r="M237" s="39" t="n">
        <x:f>IFERROR(F237/L237,0)</x:f>
        <x:v>0.13087718100180967</x:v>
      </x:c>
      <x:c r="N237" s="38" t="str">
        <x:f>IF(L237&gt;='Lookups &amp; Notes'!$E$4,"High Value","Standard")</x:f>
        <x:v>High Value</x:v>
      </x:c>
    </x:row>
    <x:row r="238">
      <x:c r="A238" s="38" t="str">
        <x:v>CUST-236</x:v>
      </x:c>
      <x:c r="B238" s="38" t="n">
        <x:f>'Raw Data'!A238</x:f>
        <x:v>1</x:v>
      </x:c>
      <x:c r="C238" s="38" t="n">
        <x:f>'Raw Data'!B238</x:f>
        <x:v>1</x:v>
      </x:c>
      <x:c r="D238" s="10" t="n">
        <x:f>'Raw Data'!C238</x:f>
        <x:v>1838</x:v>
      </x:c>
      <x:c r="E238" s="10" t="n">
        <x:f>'Raw Data'!D238</x:f>
        <x:v>6380</x:v>
      </x:c>
      <x:c r="F238" s="10" t="n">
        <x:f>'Raw Data'!E238</x:f>
        <x:v>2824</x:v>
      </x:c>
      <x:c r="G238" s="10" t="n">
        <x:f>'Raw Data'!F238</x:f>
        <x:v>1218</x:v>
      </x:c>
      <x:c r="H238" s="10" t="n">
        <x:f>'Raw Data'!G238</x:f>
        <x:v>1216</x:v>
      </x:c>
      <x:c r="I238" s="10" t="n">
        <x:f>'Raw Data'!H238</x:f>
        <x:v>295</x:v>
      </x:c>
      <x:c r="J238" s="10" t="str">
        <x:f>VLOOKUP(B238,'Lookups &amp; Notes'!$A$4:$B$5,2,FALSE)</x:f>
        <x:v>Horeca</x:v>
      </x:c>
      <x:c r="K238" s="10" t="str">
        <x:f>VLOOKUP(C238,'Lookups &amp; Notes'!$A$8:$B$10,2,FALSE)</x:f>
        <x:v>Lisbon</x:v>
      </x:c>
      <x:c r="L238" s="10" t="n">
        <x:f>SUM(D238:I238)</x:f>
        <x:v>13771</x:v>
      </x:c>
      <x:c r="M238" s="39" t="n">
        <x:f>IFERROR(F238/L238,0)</x:f>
        <x:v>0.20506862246750418</x:v>
      </x:c>
      <x:c r="N238" s="38" t="str">
        <x:f>IF(L238&gt;='Lookups &amp; Notes'!$E$4,"High Value","Standard")</x:f>
        <x:v>Standard</x:v>
      </x:c>
    </x:row>
    <x:row r="239">
      <x:c r="A239" s="38" t="str">
        <x:v>CUST-237</x:v>
      </x:c>
      <x:c r="B239" s="38" t="n">
        <x:f>'Raw Data'!A239</x:f>
        <x:v>1</x:v>
      </x:c>
      <x:c r="C239" s="38" t="n">
        <x:f>'Raw Data'!B239</x:f>
        <x:v>1</x:v>
      </x:c>
      <x:c r="D239" s="10" t="n">
        <x:f>'Raw Data'!C239</x:f>
        <x:v>8635</x:v>
      </x:c>
      <x:c r="E239" s="10" t="n">
        <x:f>'Raw Data'!D239</x:f>
        <x:v>820</x:v>
      </x:c>
      <x:c r="F239" s="10" t="n">
        <x:f>'Raw Data'!E239</x:f>
        <x:v>3047</x:v>
      </x:c>
      <x:c r="G239" s="10" t="n">
        <x:f>'Raw Data'!F239</x:f>
        <x:v>2312</x:v>
      </x:c>
      <x:c r="H239" s="10" t="n">
        <x:f>'Raw Data'!G239</x:f>
        <x:v>415</x:v>
      </x:c>
      <x:c r="I239" s="10" t="n">
        <x:f>'Raw Data'!H239</x:f>
        <x:v>225</x:v>
      </x:c>
      <x:c r="J239" s="10" t="str">
        <x:f>VLOOKUP(B239,'Lookups &amp; Notes'!$A$4:$B$5,2,FALSE)</x:f>
        <x:v>Horeca</x:v>
      </x:c>
      <x:c r="K239" s="10" t="str">
        <x:f>VLOOKUP(C239,'Lookups &amp; Notes'!$A$8:$B$10,2,FALSE)</x:f>
        <x:v>Lisbon</x:v>
      </x:c>
      <x:c r="L239" s="10" t="n">
        <x:f>SUM(D239:I239)</x:f>
        <x:v>15454</x:v>
      </x:c>
      <x:c r="M239" s="39" t="n">
        <x:f>IFERROR(F239/L239,0)</x:f>
        <x:v>0.197165782321729</x:v>
      </x:c>
      <x:c r="N239" s="38" t="str">
        <x:f>IF(L239&gt;='Lookups &amp; Notes'!$E$4,"High Value","Standard")</x:f>
        <x:v>Standard</x:v>
      </x:c>
    </x:row>
    <x:row r="240">
      <x:c r="A240" s="38" t="str">
        <x:v>CUST-238</x:v>
      </x:c>
      <x:c r="B240" s="38" t="n">
        <x:f>'Raw Data'!A240</x:f>
        <x:v>1</x:v>
      </x:c>
      <x:c r="C240" s="38" t="n">
        <x:f>'Raw Data'!B240</x:f>
        <x:v>1</x:v>
      </x:c>
      <x:c r="D240" s="10" t="n">
        <x:f>'Raw Data'!C240</x:f>
        <x:v>18692</x:v>
      </x:c>
      <x:c r="E240" s="10" t="n">
        <x:f>'Raw Data'!D240</x:f>
        <x:v>3838</x:v>
      </x:c>
      <x:c r="F240" s="10" t="n">
        <x:f>'Raw Data'!E240</x:f>
        <x:v>593</x:v>
      </x:c>
      <x:c r="G240" s="10" t="n">
        <x:f>'Raw Data'!F240</x:f>
        <x:v>4634</x:v>
      </x:c>
      <x:c r="H240" s="10" t="n">
        <x:f>'Raw Data'!G240</x:f>
        <x:v>28</x:v>
      </x:c>
      <x:c r="I240" s="10" t="n">
        <x:f>'Raw Data'!H240</x:f>
        <x:v>1215</x:v>
      </x:c>
      <x:c r="J240" s="10" t="str">
        <x:f>VLOOKUP(B240,'Lookups &amp; Notes'!$A$4:$B$5,2,FALSE)</x:f>
        <x:v>Horeca</x:v>
      </x:c>
      <x:c r="K240" s="10" t="str">
        <x:f>VLOOKUP(C240,'Lookups &amp; Notes'!$A$8:$B$10,2,FALSE)</x:f>
        <x:v>Lisbon</x:v>
      </x:c>
      <x:c r="L240" s="10" t="n">
        <x:f>SUM(D240:I240)</x:f>
        <x:v>29000</x:v>
      </x:c>
      <x:c r="M240" s="39" t="n">
        <x:f>IFERROR(F240/L240,0)</x:f>
        <x:v>0.020448275862068967</x:v>
      </x:c>
      <x:c r="N240" s="38" t="str">
        <x:f>IF(L240&gt;='Lookups &amp; Notes'!$E$4,"High Value","Standard")</x:f>
        <x:v>High Value</x:v>
      </x:c>
    </x:row>
    <x:row r="241">
      <x:c r="A241" s="38" t="str">
        <x:v>CUST-239</x:v>
      </x:c>
      <x:c r="B241" s="38" t="n">
        <x:f>'Raw Data'!A241</x:f>
        <x:v>1</x:v>
      </x:c>
      <x:c r="C241" s="38" t="n">
        <x:f>'Raw Data'!B241</x:f>
        <x:v>1</x:v>
      </x:c>
      <x:c r="D241" s="10" t="n">
        <x:f>'Raw Data'!C241</x:f>
        <x:v>7363</x:v>
      </x:c>
      <x:c r="E241" s="10" t="n">
        <x:f>'Raw Data'!D241</x:f>
        <x:v>475</x:v>
      </x:c>
      <x:c r="F241" s="10" t="n">
        <x:f>'Raw Data'!E241</x:f>
        <x:v>585</x:v>
      </x:c>
      <x:c r="G241" s="10" t="n">
        <x:f>'Raw Data'!F241</x:f>
        <x:v>1112</x:v>
      </x:c>
      <x:c r="H241" s="10" t="n">
        <x:f>'Raw Data'!G241</x:f>
        <x:v>72</x:v>
      </x:c>
      <x:c r="I241" s="10" t="n">
        <x:f>'Raw Data'!H241</x:f>
        <x:v>216</x:v>
      </x:c>
      <x:c r="J241" s="10" t="str">
        <x:f>VLOOKUP(B241,'Lookups &amp; Notes'!$A$4:$B$5,2,FALSE)</x:f>
        <x:v>Horeca</x:v>
      </x:c>
      <x:c r="K241" s="10" t="str">
        <x:f>VLOOKUP(C241,'Lookups &amp; Notes'!$A$8:$B$10,2,FALSE)</x:f>
        <x:v>Lisbon</x:v>
      </x:c>
      <x:c r="L241" s="10" t="n">
        <x:f>SUM(D241:I241)</x:f>
        <x:v>9823</x:v>
      </x:c>
      <x:c r="M241" s="39" t="n">
        <x:f>IFERROR(F241/L241,0)</x:f>
        <x:v>0.05955410770640334</x:v>
      </x:c>
      <x:c r="N241" s="38" t="str">
        <x:f>IF(L241&gt;='Lookups &amp; Notes'!$E$4,"High Value","Standard")</x:f>
        <x:v>Standard</x:v>
      </x:c>
    </x:row>
    <x:row r="242">
      <x:c r="A242" s="38" t="str">
        <x:v>CUST-240</x:v>
      </x:c>
      <x:c r="B242" s="38" t="n">
        <x:f>'Raw Data'!A242</x:f>
        <x:v>1</x:v>
      </x:c>
      <x:c r="C242" s="38" t="n">
        <x:f>'Raw Data'!B242</x:f>
        <x:v>1</x:v>
      </x:c>
      <x:c r="D242" s="10" t="n">
        <x:f>'Raw Data'!C242</x:f>
        <x:v>47493</x:v>
      </x:c>
      <x:c r="E242" s="10" t="n">
        <x:f>'Raw Data'!D242</x:f>
        <x:v>2567</x:v>
      </x:c>
      <x:c r="F242" s="10" t="n">
        <x:f>'Raw Data'!E242</x:f>
        <x:v>3779</x:v>
      </x:c>
      <x:c r="G242" s="10" t="n">
        <x:f>'Raw Data'!F242</x:f>
        <x:v>5243</x:v>
      </x:c>
      <x:c r="H242" s="10" t="n">
        <x:f>'Raw Data'!G242</x:f>
        <x:v>828</x:v>
      </x:c>
      <x:c r="I242" s="10" t="n">
        <x:f>'Raw Data'!H242</x:f>
        <x:v>2253</x:v>
      </x:c>
      <x:c r="J242" s="10" t="str">
        <x:f>VLOOKUP(B242,'Lookups &amp; Notes'!$A$4:$B$5,2,FALSE)</x:f>
        <x:v>Horeca</x:v>
      </x:c>
      <x:c r="K242" s="10" t="str">
        <x:f>VLOOKUP(C242,'Lookups &amp; Notes'!$A$8:$B$10,2,FALSE)</x:f>
        <x:v>Lisbon</x:v>
      </x:c>
      <x:c r="L242" s="10" t="n">
        <x:f>SUM(D242:I242)</x:f>
        <x:v>62163</x:v>
      </x:c>
      <x:c r="M242" s="39" t="n">
        <x:f>IFERROR(F242/L242,0)</x:f>
        <x:v>0.060791789328056886</x:v>
      </x:c>
      <x:c r="N242" s="38" t="str">
        <x:f>IF(L242&gt;='Lookups &amp; Notes'!$E$4,"High Value","Standard")</x:f>
        <x:v>High Value</x:v>
      </x:c>
    </x:row>
    <x:row r="243">
      <x:c r="A243" s="38" t="str">
        <x:v>CUST-241</x:v>
      </x:c>
      <x:c r="B243" s="38" t="n">
        <x:f>'Raw Data'!A243</x:f>
        <x:v>1</x:v>
      </x:c>
      <x:c r="C243" s="38" t="n">
        <x:f>'Raw Data'!B243</x:f>
        <x:v>1</x:v>
      </x:c>
      <x:c r="D243" s="10" t="n">
        <x:f>'Raw Data'!C243</x:f>
        <x:v>22096</x:v>
      </x:c>
      <x:c r="E243" s="10" t="n">
        <x:f>'Raw Data'!D243</x:f>
        <x:v>3575</x:v>
      </x:c>
      <x:c r="F243" s="10" t="n">
        <x:f>'Raw Data'!E243</x:f>
        <x:v>7041</x:v>
      </x:c>
      <x:c r="G243" s="10" t="n">
        <x:f>'Raw Data'!F243</x:f>
        <x:v>11422</x:v>
      </x:c>
      <x:c r="H243" s="10" t="n">
        <x:f>'Raw Data'!G243</x:f>
        <x:v>343</x:v>
      </x:c>
      <x:c r="I243" s="10" t="n">
        <x:f>'Raw Data'!H243</x:f>
        <x:v>2564</x:v>
      </x:c>
      <x:c r="J243" s="10" t="str">
        <x:f>VLOOKUP(B243,'Lookups &amp; Notes'!$A$4:$B$5,2,FALSE)</x:f>
        <x:v>Horeca</x:v>
      </x:c>
      <x:c r="K243" s="10" t="str">
        <x:f>VLOOKUP(C243,'Lookups &amp; Notes'!$A$8:$B$10,2,FALSE)</x:f>
        <x:v>Lisbon</x:v>
      </x:c>
      <x:c r="L243" s="10" t="n">
        <x:f>SUM(D243:I243)</x:f>
        <x:v>47041</x:v>
      </x:c>
      <x:c r="M243" s="39" t="n">
        <x:f>IFERROR(F243/L243,0)</x:f>
        <x:v>0.14967794051997194</x:v>
      </x:c>
      <x:c r="N243" s="38" t="str">
        <x:f>IF(L243&gt;='Lookups &amp; Notes'!$E$4,"High Value","Standard")</x:f>
        <x:v>High Value</x:v>
      </x:c>
    </x:row>
    <x:row r="244">
      <x:c r="A244" s="38" t="str">
        <x:v>CUST-242</x:v>
      </x:c>
      <x:c r="B244" s="38" t="n">
        <x:f>'Raw Data'!A244</x:f>
        <x:v>1</x:v>
      </x:c>
      <x:c r="C244" s="38" t="n">
        <x:f>'Raw Data'!B244</x:f>
        <x:v>1</x:v>
      </x:c>
      <x:c r="D244" s="10" t="n">
        <x:f>'Raw Data'!C244</x:f>
        <x:v>24929</x:v>
      </x:c>
      <x:c r="E244" s="10" t="n">
        <x:f>'Raw Data'!D244</x:f>
        <x:v>1801</x:v>
      </x:c>
      <x:c r="F244" s="10" t="n">
        <x:f>'Raw Data'!E244</x:f>
        <x:v>2475</x:v>
      </x:c>
      <x:c r="G244" s="10" t="n">
        <x:f>'Raw Data'!F244</x:f>
        <x:v>2216</x:v>
      </x:c>
      <x:c r="H244" s="10" t="n">
        <x:f>'Raw Data'!G244</x:f>
        <x:v>412</x:v>
      </x:c>
      <x:c r="I244" s="10" t="n">
        <x:f>'Raw Data'!H244</x:f>
        <x:v>1047</x:v>
      </x:c>
      <x:c r="J244" s="10" t="str">
        <x:f>VLOOKUP(B244,'Lookups &amp; Notes'!$A$4:$B$5,2,FALSE)</x:f>
        <x:v>Horeca</x:v>
      </x:c>
      <x:c r="K244" s="10" t="str">
        <x:f>VLOOKUP(C244,'Lookups &amp; Notes'!$A$8:$B$10,2,FALSE)</x:f>
        <x:v>Lisbon</x:v>
      </x:c>
      <x:c r="L244" s="10" t="n">
        <x:f>SUM(D244:I244)</x:f>
        <x:v>32880</x:v>
      </x:c>
      <x:c r="M244" s="39" t="n">
        <x:f>IFERROR(F244/L244,0)</x:f>
        <x:v>0.07527372262773722</x:v>
      </x:c>
      <x:c r="N244" s="38" t="str">
        <x:f>IF(L244&gt;='Lookups &amp; Notes'!$E$4,"High Value","Standard")</x:f>
        <x:v>High Value</x:v>
      </x:c>
    </x:row>
    <x:row r="245">
      <x:c r="A245" s="38" t="str">
        <x:v>CUST-243</x:v>
      </x:c>
      <x:c r="B245" s="38" t="n">
        <x:f>'Raw Data'!A245</x:f>
        <x:v>1</x:v>
      </x:c>
      <x:c r="C245" s="38" t="n">
        <x:f>'Raw Data'!B245</x:f>
        <x:v>1</x:v>
      </x:c>
      <x:c r="D245" s="10" t="n">
        <x:f>'Raw Data'!C245</x:f>
        <x:v>18226</x:v>
      </x:c>
      <x:c r="E245" s="10" t="n">
        <x:f>'Raw Data'!D245</x:f>
        <x:v>659</x:v>
      </x:c>
      <x:c r="F245" s="10" t="n">
        <x:f>'Raw Data'!E245</x:f>
        <x:v>2914</x:v>
      </x:c>
      <x:c r="G245" s="10" t="n">
        <x:f>'Raw Data'!F245</x:f>
        <x:v>3752</x:v>
      </x:c>
      <x:c r="H245" s="10" t="n">
        <x:f>'Raw Data'!G245</x:f>
        <x:v>586</x:v>
      </x:c>
      <x:c r="I245" s="10" t="n">
        <x:f>'Raw Data'!H245</x:f>
        <x:v>578</x:v>
      </x:c>
      <x:c r="J245" s="10" t="str">
        <x:f>VLOOKUP(B245,'Lookups &amp; Notes'!$A$4:$B$5,2,FALSE)</x:f>
        <x:v>Horeca</x:v>
      </x:c>
      <x:c r="K245" s="10" t="str">
        <x:f>VLOOKUP(C245,'Lookups &amp; Notes'!$A$8:$B$10,2,FALSE)</x:f>
        <x:v>Lisbon</x:v>
      </x:c>
      <x:c r="L245" s="10" t="n">
        <x:f>SUM(D245:I245)</x:f>
        <x:v>26715</x:v>
      </x:c>
      <x:c r="M245" s="39" t="n">
        <x:f>IFERROR(F245/L245,0)</x:f>
        <x:v>0.10907729739846528</x:v>
      </x:c>
      <x:c r="N245" s="38" t="str">
        <x:f>IF(L245&gt;='Lookups &amp; Notes'!$E$4,"High Value","Standard")</x:f>
        <x:v>Standard</x:v>
      </x:c>
    </x:row>
    <x:row r="246">
      <x:c r="A246" s="38" t="str">
        <x:v>CUST-244</x:v>
      </x:c>
      <x:c r="B246" s="38" t="n">
        <x:f>'Raw Data'!A246</x:f>
        <x:v>1</x:v>
      </x:c>
      <x:c r="C246" s="38" t="n">
        <x:f>'Raw Data'!B246</x:f>
        <x:v>1</x:v>
      </x:c>
      <x:c r="D246" s="10" t="n">
        <x:f>'Raw Data'!C246</x:f>
        <x:v>11210</x:v>
      </x:c>
      <x:c r="E246" s="10" t="n">
        <x:f>'Raw Data'!D246</x:f>
        <x:v>3576</x:v>
      </x:c>
      <x:c r="F246" s="10" t="n">
        <x:f>'Raw Data'!E246</x:f>
        <x:v>5119</x:v>
      </x:c>
      <x:c r="G246" s="10" t="n">
        <x:f>'Raw Data'!F246</x:f>
        <x:v>561</x:v>
      </x:c>
      <x:c r="H246" s="10" t="n">
        <x:f>'Raw Data'!G246</x:f>
        <x:v>1682</x:v>
      </x:c>
      <x:c r="I246" s="10" t="n">
        <x:f>'Raw Data'!H246</x:f>
        <x:v>2398</x:v>
      </x:c>
      <x:c r="J246" s="10" t="str">
        <x:f>VLOOKUP(B246,'Lookups &amp; Notes'!$A$4:$B$5,2,FALSE)</x:f>
        <x:v>Horeca</x:v>
      </x:c>
      <x:c r="K246" s="10" t="str">
        <x:f>VLOOKUP(C246,'Lookups &amp; Notes'!$A$8:$B$10,2,FALSE)</x:f>
        <x:v>Lisbon</x:v>
      </x:c>
      <x:c r="L246" s="10" t="n">
        <x:f>SUM(D246:I246)</x:f>
        <x:v>24546</x:v>
      </x:c>
      <x:c r="M246" s="39" t="n">
        <x:f>IFERROR(F246/L246,0)</x:f>
        <x:v>0.20854721746924143</x:v>
      </x:c>
      <x:c r="N246" s="38" t="str">
        <x:f>IF(L246&gt;='Lookups &amp; Notes'!$E$4,"High Value","Standard")</x:f>
        <x:v>Standard</x:v>
      </x:c>
    </x:row>
    <x:row r="247">
      <x:c r="A247" s="38" t="str">
        <x:v>CUST-245</x:v>
      </x:c>
      <x:c r="B247" s="38" t="n">
        <x:f>'Raw Data'!A247</x:f>
        <x:v>1</x:v>
      </x:c>
      <x:c r="C247" s="38" t="n">
        <x:f>'Raw Data'!B247</x:f>
        <x:v>1</x:v>
      </x:c>
      <x:c r="D247" s="10" t="n">
        <x:f>'Raw Data'!C247</x:f>
        <x:v>6202</x:v>
      </x:c>
      <x:c r="E247" s="10" t="n">
        <x:f>'Raw Data'!D247</x:f>
        <x:v>7775</x:v>
      </x:c>
      <x:c r="F247" s="10" t="n">
        <x:f>'Raw Data'!E247</x:f>
        <x:v>10817</x:v>
      </x:c>
      <x:c r="G247" s="10" t="n">
        <x:f>'Raw Data'!F247</x:f>
        <x:v>1183</x:v>
      </x:c>
      <x:c r="H247" s="10" t="n">
        <x:f>'Raw Data'!G247</x:f>
        <x:v>3143</x:v>
      </x:c>
      <x:c r="I247" s="10" t="n">
        <x:f>'Raw Data'!H247</x:f>
        <x:v>1970</x:v>
      </x:c>
      <x:c r="J247" s="10" t="str">
        <x:f>VLOOKUP(B247,'Lookups &amp; Notes'!$A$4:$B$5,2,FALSE)</x:f>
        <x:v>Horeca</x:v>
      </x:c>
      <x:c r="K247" s="10" t="str">
        <x:f>VLOOKUP(C247,'Lookups &amp; Notes'!$A$8:$B$10,2,FALSE)</x:f>
        <x:v>Lisbon</x:v>
      </x:c>
      <x:c r="L247" s="10" t="n">
        <x:f>SUM(D247:I247)</x:f>
        <x:v>31090</x:v>
      </x:c>
      <x:c r="M247" s="39" t="n">
        <x:f>IFERROR(F247/L247,0)</x:f>
        <x:v>0.3479253779350273</x:v>
      </x:c>
      <x:c r="N247" s="38" t="str">
        <x:f>IF(L247&gt;='Lookups &amp; Notes'!$E$4,"High Value","Standard")</x:f>
        <x:v>High Value</x:v>
      </x:c>
    </x:row>
    <x:row r="248">
      <x:c r="A248" s="38" t="str">
        <x:v>CUST-246</x:v>
      </x:c>
      <x:c r="B248" s="38" t="n">
        <x:f>'Raw Data'!A248</x:f>
        <x:v>2</x:v>
      </x:c>
      <x:c r="C248" s="38" t="n">
        <x:f>'Raw Data'!B248</x:f>
        <x:v>1</x:v>
      </x:c>
      <x:c r="D248" s="10" t="n">
        <x:f>'Raw Data'!C248</x:f>
        <x:v>3062</x:v>
      </x:c>
      <x:c r="E248" s="10" t="n">
        <x:f>'Raw Data'!D248</x:f>
        <x:v>6154</x:v>
      </x:c>
      <x:c r="F248" s="10" t="n">
        <x:f>'Raw Data'!E248</x:f>
        <x:v>13916</x:v>
      </x:c>
      <x:c r="G248" s="10" t="n">
        <x:f>'Raw Data'!F248</x:f>
        <x:v>230</x:v>
      </x:c>
      <x:c r="H248" s="10" t="n">
        <x:f>'Raw Data'!G248</x:f>
        <x:v>8933</x:v>
      </x:c>
      <x:c r="I248" s="10" t="n">
        <x:f>'Raw Data'!H248</x:f>
        <x:v>2784</x:v>
      </x:c>
      <x:c r="J248" s="10" t="str">
        <x:f>VLOOKUP(B248,'Lookups &amp; Notes'!$A$4:$B$5,2,FALSE)</x:f>
        <x:v>Retail</x:v>
      </x:c>
      <x:c r="K248" s="10" t="str">
        <x:f>VLOOKUP(C248,'Lookups &amp; Notes'!$A$8:$B$10,2,FALSE)</x:f>
        <x:v>Lisbon</x:v>
      </x:c>
      <x:c r="L248" s="10" t="n">
        <x:f>SUM(D248:I248)</x:f>
        <x:v>35079</x:v>
      </x:c>
      <x:c r="M248" s="39" t="n">
        <x:f>IFERROR(F248/L248,0)</x:f>
        <x:v>0.39670458108840045</x:v>
      </x:c>
      <x:c r="N248" s="38" t="str">
        <x:f>IF(L248&gt;='Lookups &amp; Notes'!$E$4,"High Value","Standard")</x:f>
        <x:v>High Value</x:v>
      </x:c>
    </x:row>
    <x:row r="249">
      <x:c r="A249" s="38" t="str">
        <x:v>CUST-247</x:v>
      </x:c>
      <x:c r="B249" s="38" t="n">
        <x:f>'Raw Data'!A249</x:f>
        <x:v>1</x:v>
      </x:c>
      <x:c r="C249" s="38" t="n">
        <x:f>'Raw Data'!B249</x:f>
        <x:v>1</x:v>
      </x:c>
      <x:c r="D249" s="10" t="n">
        <x:f>'Raw Data'!C249</x:f>
        <x:v>8885</x:v>
      </x:c>
      <x:c r="E249" s="10" t="n">
        <x:f>'Raw Data'!D249</x:f>
        <x:v>2428</x:v>
      </x:c>
      <x:c r="F249" s="10" t="n">
        <x:f>'Raw Data'!E249</x:f>
        <x:v>1777</x:v>
      </x:c>
      <x:c r="G249" s="10" t="n">
        <x:f>'Raw Data'!F249</x:f>
        <x:v>1777</x:v>
      </x:c>
      <x:c r="H249" s="10" t="n">
        <x:f>'Raw Data'!G249</x:f>
        <x:v>430</x:v>
      </x:c>
      <x:c r="I249" s="10" t="n">
        <x:f>'Raw Data'!H249</x:f>
        <x:v>610</x:v>
      </x:c>
      <x:c r="J249" s="10" t="str">
        <x:f>VLOOKUP(B249,'Lookups &amp; Notes'!$A$4:$B$5,2,FALSE)</x:f>
        <x:v>Horeca</x:v>
      </x:c>
      <x:c r="K249" s="10" t="str">
        <x:f>VLOOKUP(C249,'Lookups &amp; Notes'!$A$8:$B$10,2,FALSE)</x:f>
        <x:v>Lisbon</x:v>
      </x:c>
      <x:c r="L249" s="10" t="n">
        <x:f>SUM(D249:I249)</x:f>
        <x:v>15907</x:v>
      </x:c>
      <x:c r="M249" s="39" t="n">
        <x:f>IFERROR(F249/L249,0)</x:f>
        <x:v>0.11171182498271201</x:v>
      </x:c>
      <x:c r="N249" s="38" t="str">
        <x:f>IF(L249&gt;='Lookups &amp; Notes'!$E$4,"High Value","Standard")</x:f>
        <x:v>Standard</x:v>
      </x:c>
    </x:row>
    <x:row r="250">
      <x:c r="A250" s="38" t="str">
        <x:v>CUST-248</x:v>
      </x:c>
      <x:c r="B250" s="38" t="n">
        <x:f>'Raw Data'!A250</x:f>
        <x:v>1</x:v>
      </x:c>
      <x:c r="C250" s="38" t="n">
        <x:f>'Raw Data'!B250</x:f>
        <x:v>1</x:v>
      </x:c>
      <x:c r="D250" s="10" t="n">
        <x:f>'Raw Data'!C250</x:f>
        <x:v>13569</x:v>
      </x:c>
      <x:c r="E250" s="10" t="n">
        <x:f>'Raw Data'!D250</x:f>
        <x:v>346</x:v>
      </x:c>
      <x:c r="F250" s="10" t="n">
        <x:f>'Raw Data'!E250</x:f>
        <x:v>489</x:v>
      </x:c>
      <x:c r="G250" s="10" t="n">
        <x:f>'Raw Data'!F250</x:f>
        <x:v>2077</x:v>
      </x:c>
      <x:c r="H250" s="10" t="n">
        <x:f>'Raw Data'!G250</x:f>
        <x:v>44</x:v>
      </x:c>
      <x:c r="I250" s="10" t="n">
        <x:f>'Raw Data'!H250</x:f>
        <x:v>659</x:v>
      </x:c>
      <x:c r="J250" s="10" t="str">
        <x:f>VLOOKUP(B250,'Lookups &amp; Notes'!$A$4:$B$5,2,FALSE)</x:f>
        <x:v>Horeca</x:v>
      </x:c>
      <x:c r="K250" s="10" t="str">
        <x:f>VLOOKUP(C250,'Lookups &amp; Notes'!$A$8:$B$10,2,FALSE)</x:f>
        <x:v>Lisbon</x:v>
      </x:c>
      <x:c r="L250" s="10" t="n">
        <x:f>SUM(D250:I250)</x:f>
        <x:v>17184</x:v>
      </x:c>
      <x:c r="M250" s="39" t="n">
        <x:f>IFERROR(F250/L250,0)</x:f>
        <x:v>0.028456703910614525</x:v>
      </x:c>
      <x:c r="N250" s="38" t="str">
        <x:f>IF(L250&gt;='Lookups &amp; Notes'!$E$4,"High Value","Standard")</x:f>
        <x:v>Standard</x:v>
      </x:c>
    </x:row>
    <x:row r="251">
      <x:c r="A251" s="38" t="str">
        <x:v>CUST-249</x:v>
      </x:c>
      <x:c r="B251" s="38" t="n">
        <x:f>'Raw Data'!A251</x:f>
        <x:v>1</x:v>
      </x:c>
      <x:c r="C251" s="38" t="n">
        <x:f>'Raw Data'!B251</x:f>
        <x:v>1</x:v>
      </x:c>
      <x:c r="D251" s="10" t="n">
        <x:f>'Raw Data'!C251</x:f>
        <x:v>15671</x:v>
      </x:c>
      <x:c r="E251" s="10" t="n">
        <x:f>'Raw Data'!D251</x:f>
        <x:v>5279</x:v>
      </x:c>
      <x:c r="F251" s="10" t="n">
        <x:f>'Raw Data'!E251</x:f>
        <x:v>2406</x:v>
      </x:c>
      <x:c r="G251" s="10" t="n">
        <x:f>'Raw Data'!F251</x:f>
        <x:v>559</x:v>
      </x:c>
      <x:c r="H251" s="10" t="n">
        <x:f>'Raw Data'!G251</x:f>
        <x:v>562</x:v>
      </x:c>
      <x:c r="I251" s="10" t="n">
        <x:f>'Raw Data'!H251</x:f>
        <x:v>572</x:v>
      </x:c>
      <x:c r="J251" s="10" t="str">
        <x:f>VLOOKUP(B251,'Lookups &amp; Notes'!$A$4:$B$5,2,FALSE)</x:f>
        <x:v>Horeca</x:v>
      </x:c>
      <x:c r="K251" s="10" t="str">
        <x:f>VLOOKUP(C251,'Lookups &amp; Notes'!$A$8:$B$10,2,FALSE)</x:f>
        <x:v>Lisbon</x:v>
      </x:c>
      <x:c r="L251" s="10" t="n">
        <x:f>SUM(D251:I251)</x:f>
        <x:v>25049</x:v>
      </x:c>
      <x:c r="M251" s="39" t="n">
        <x:f>IFERROR(F251/L251,0)</x:f>
        <x:v>0.09605173859235898</x:v>
      </x:c>
      <x:c r="N251" s="38" t="str">
        <x:f>IF(L251&gt;='Lookups &amp; Notes'!$E$4,"High Value","Standard")</x:f>
        <x:v>Standard</x:v>
      </x:c>
    </x:row>
    <x:row r="252">
      <x:c r="A252" s="38" t="str">
        <x:v>CUST-250</x:v>
      </x:c>
      <x:c r="B252" s="38" t="n">
        <x:f>'Raw Data'!A252</x:f>
        <x:v>1</x:v>
      </x:c>
      <x:c r="C252" s="38" t="n">
        <x:f>'Raw Data'!B252</x:f>
        <x:v>1</x:v>
      </x:c>
      <x:c r="D252" s="10" t="n">
        <x:f>'Raw Data'!C252</x:f>
        <x:v>8040</x:v>
      </x:c>
      <x:c r="E252" s="10" t="n">
        <x:f>'Raw Data'!D252</x:f>
        <x:v>3795</x:v>
      </x:c>
      <x:c r="F252" s="10" t="n">
        <x:f>'Raw Data'!E252</x:f>
        <x:v>2070</x:v>
      </x:c>
      <x:c r="G252" s="10" t="n">
        <x:f>'Raw Data'!F252</x:f>
        <x:v>6340</x:v>
      </x:c>
      <x:c r="H252" s="10" t="n">
        <x:f>'Raw Data'!G252</x:f>
        <x:v>918</x:v>
      </x:c>
      <x:c r="I252" s="10" t="n">
        <x:f>'Raw Data'!H252</x:f>
        <x:v>291</x:v>
      </x:c>
      <x:c r="J252" s="10" t="str">
        <x:f>VLOOKUP(B252,'Lookups &amp; Notes'!$A$4:$B$5,2,FALSE)</x:f>
        <x:v>Horeca</x:v>
      </x:c>
      <x:c r="K252" s="10" t="str">
        <x:f>VLOOKUP(C252,'Lookups &amp; Notes'!$A$8:$B$10,2,FALSE)</x:f>
        <x:v>Lisbon</x:v>
      </x:c>
      <x:c r="L252" s="10" t="n">
        <x:f>SUM(D252:I252)</x:f>
        <x:v>21454</x:v>
      </x:c>
      <x:c r="M252" s="39" t="n">
        <x:f>IFERROR(F252/L252,0)</x:f>
        <x:v>0.09648550386874243</x:v>
      </x:c>
      <x:c r="N252" s="38" t="str">
        <x:f>IF(L252&gt;='Lookups &amp; Notes'!$E$4,"High Value","Standard")</x:f>
        <x:v>Standard</x:v>
      </x:c>
    </x:row>
    <x:row r="253">
      <x:c r="A253" s="38" t="str">
        <x:v>CUST-251</x:v>
      </x:c>
      <x:c r="B253" s="38" t="n">
        <x:f>'Raw Data'!A253</x:f>
        <x:v>1</x:v>
      </x:c>
      <x:c r="C253" s="38" t="n">
        <x:f>'Raw Data'!B253</x:f>
        <x:v>1</x:v>
      </x:c>
      <x:c r="D253" s="10" t="n">
        <x:f>'Raw Data'!C253</x:f>
        <x:v>3191</x:v>
      </x:c>
      <x:c r="E253" s="10" t="n">
        <x:f>'Raw Data'!D253</x:f>
        <x:v>1993</x:v>
      </x:c>
      <x:c r="F253" s="10" t="n">
        <x:f>'Raw Data'!E253</x:f>
        <x:v>1799</x:v>
      </x:c>
      <x:c r="G253" s="10" t="n">
        <x:f>'Raw Data'!F253</x:f>
        <x:v>1730</x:v>
      </x:c>
      <x:c r="H253" s="10" t="n">
        <x:f>'Raw Data'!G253</x:f>
        <x:v>234</x:v>
      </x:c>
      <x:c r="I253" s="10" t="n">
        <x:f>'Raw Data'!H253</x:f>
        <x:v>710</x:v>
      </x:c>
      <x:c r="J253" s="10" t="str">
        <x:f>VLOOKUP(B253,'Lookups &amp; Notes'!$A$4:$B$5,2,FALSE)</x:f>
        <x:v>Horeca</x:v>
      </x:c>
      <x:c r="K253" s="10" t="str">
        <x:f>VLOOKUP(C253,'Lookups &amp; Notes'!$A$8:$B$10,2,FALSE)</x:f>
        <x:v>Lisbon</x:v>
      </x:c>
      <x:c r="L253" s="10" t="n">
        <x:f>SUM(D253:I253)</x:f>
        <x:v>9657</x:v>
      </x:c>
      <x:c r="M253" s="39" t="n">
        <x:f>IFERROR(F253/L253,0)</x:f>
        <x:v>0.18628973801387594</x:v>
      </x:c>
      <x:c r="N253" s="38" t="str">
        <x:f>IF(L253&gt;='Lookups &amp; Notes'!$E$4,"High Value","Standard")</x:f>
        <x:v>Standard</x:v>
      </x:c>
    </x:row>
    <x:row r="254">
      <x:c r="A254" s="38" t="str">
        <x:v>CUST-252</x:v>
      </x:c>
      <x:c r="B254" s="38" t="n">
        <x:f>'Raw Data'!A254</x:f>
        <x:v>2</x:v>
      </x:c>
      <x:c r="C254" s="38" t="n">
        <x:f>'Raw Data'!B254</x:f>
        <x:v>1</x:v>
      </x:c>
      <x:c r="D254" s="10" t="n">
        <x:f>'Raw Data'!C254</x:f>
        <x:v>6134</x:v>
      </x:c>
      <x:c r="E254" s="10" t="n">
        <x:f>'Raw Data'!D254</x:f>
        <x:v>23133</x:v>
      </x:c>
      <x:c r="F254" s="10" t="n">
        <x:f>'Raw Data'!E254</x:f>
        <x:v>33586</x:v>
      </x:c>
      <x:c r="G254" s="10" t="n">
        <x:f>'Raw Data'!F254</x:f>
        <x:v>6746</x:v>
      </x:c>
      <x:c r="H254" s="10" t="n">
        <x:f>'Raw Data'!G254</x:f>
        <x:v>18594</x:v>
      </x:c>
      <x:c r="I254" s="10" t="n">
        <x:f>'Raw Data'!H254</x:f>
        <x:v>5121</x:v>
      </x:c>
      <x:c r="J254" s="10" t="str">
        <x:f>VLOOKUP(B254,'Lookups &amp; Notes'!$A$4:$B$5,2,FALSE)</x:f>
        <x:v>Retail</x:v>
      </x:c>
      <x:c r="K254" s="10" t="str">
        <x:f>VLOOKUP(C254,'Lookups &amp; Notes'!$A$8:$B$10,2,FALSE)</x:f>
        <x:v>Lisbon</x:v>
      </x:c>
      <x:c r="L254" s="10" t="n">
        <x:f>SUM(D254:I254)</x:f>
        <x:v>93314</x:v>
      </x:c>
      <x:c r="M254" s="39" t="n">
        <x:f>IFERROR(F254/L254,0)</x:f>
        <x:v>0.3599245558008445</x:v>
      </x:c>
      <x:c r="N254" s="38" t="str">
        <x:f>IF(L254&gt;='Lookups &amp; Notes'!$E$4,"High Value","Standard")</x:f>
        <x:v>High Value</x:v>
      </x:c>
    </x:row>
    <x:row r="255">
      <x:c r="A255" s="38" t="str">
        <x:v>CUST-253</x:v>
      </x:c>
      <x:c r="B255" s="38" t="n">
        <x:f>'Raw Data'!A255</x:f>
        <x:v>1</x:v>
      </x:c>
      <x:c r="C255" s="38" t="n">
        <x:f>'Raw Data'!B255</x:f>
        <x:v>1</x:v>
      </x:c>
      <x:c r="D255" s="10" t="n">
        <x:f>'Raw Data'!C255</x:f>
        <x:v>6623</x:v>
      </x:c>
      <x:c r="E255" s="10" t="n">
        <x:f>'Raw Data'!D255</x:f>
        <x:v>1860</x:v>
      </x:c>
      <x:c r="F255" s="10" t="n">
        <x:f>'Raw Data'!E255</x:f>
        <x:v>4740</x:v>
      </x:c>
      <x:c r="G255" s="10" t="n">
        <x:f>'Raw Data'!F255</x:f>
        <x:v>7683</x:v>
      </x:c>
      <x:c r="H255" s="10" t="n">
        <x:f>'Raw Data'!G255</x:f>
        <x:v>205</x:v>
      </x:c>
      <x:c r="I255" s="10" t="n">
        <x:f>'Raw Data'!H255</x:f>
        <x:v>1693</x:v>
      </x:c>
      <x:c r="J255" s="10" t="str">
        <x:f>VLOOKUP(B255,'Lookups &amp; Notes'!$A$4:$B$5,2,FALSE)</x:f>
        <x:v>Horeca</x:v>
      </x:c>
      <x:c r="K255" s="10" t="str">
        <x:f>VLOOKUP(C255,'Lookups &amp; Notes'!$A$8:$B$10,2,FALSE)</x:f>
        <x:v>Lisbon</x:v>
      </x:c>
      <x:c r="L255" s="10" t="n">
        <x:f>SUM(D255:I255)</x:f>
        <x:v>22804</x:v>
      </x:c>
      <x:c r="M255" s="39" t="n">
        <x:f>IFERROR(F255/L255,0)</x:f>
        <x:v>0.20785827047886335</x:v>
      </x:c>
      <x:c r="N255" s="38" t="str">
        <x:f>IF(L255&gt;='Lookups &amp; Notes'!$E$4,"High Value","Standard")</x:f>
        <x:v>Standard</x:v>
      </x:c>
    </x:row>
    <x:row r="256">
      <x:c r="A256" s="38" t="str">
        <x:v>CUST-254</x:v>
      </x:c>
      <x:c r="B256" s="38" t="n">
        <x:f>'Raw Data'!A256</x:f>
        <x:v>1</x:v>
      </x:c>
      <x:c r="C256" s="38" t="n">
        <x:f>'Raw Data'!B256</x:f>
        <x:v>1</x:v>
      </x:c>
      <x:c r="D256" s="10" t="n">
        <x:f>'Raw Data'!C256</x:f>
        <x:v>29526</x:v>
      </x:c>
      <x:c r="E256" s="10" t="n">
        <x:f>'Raw Data'!D256</x:f>
        <x:v>7961</x:v>
      </x:c>
      <x:c r="F256" s="10" t="n">
        <x:f>'Raw Data'!E256</x:f>
        <x:v>16966</x:v>
      </x:c>
      <x:c r="G256" s="10" t="n">
        <x:f>'Raw Data'!F256</x:f>
        <x:v>432</x:v>
      </x:c>
      <x:c r="H256" s="10" t="n">
        <x:f>'Raw Data'!G256</x:f>
        <x:v>363</x:v>
      </x:c>
      <x:c r="I256" s="10" t="n">
        <x:f>'Raw Data'!H256</x:f>
        <x:v>1391</x:v>
      </x:c>
      <x:c r="J256" s="10" t="str">
        <x:f>VLOOKUP(B256,'Lookups &amp; Notes'!$A$4:$B$5,2,FALSE)</x:f>
        <x:v>Horeca</x:v>
      </x:c>
      <x:c r="K256" s="10" t="str">
        <x:f>VLOOKUP(C256,'Lookups &amp; Notes'!$A$8:$B$10,2,FALSE)</x:f>
        <x:v>Lisbon</x:v>
      </x:c>
      <x:c r="L256" s="10" t="n">
        <x:f>SUM(D256:I256)</x:f>
        <x:v>56639</x:v>
      </x:c>
      <x:c r="M256" s="39" t="n">
        <x:f>IFERROR(F256/L256,0)</x:f>
        <x:v>0.29954624905100724</x:v>
      </x:c>
      <x:c r="N256" s="38" t="str">
        <x:f>IF(L256&gt;='Lookups &amp; Notes'!$E$4,"High Value","Standard")</x:f>
        <x:v>High Value</x:v>
      </x:c>
    </x:row>
    <x:row r="257">
      <x:c r="A257" s="38" t="str">
        <x:v>CUST-255</x:v>
      </x:c>
      <x:c r="B257" s="38" t="n">
        <x:f>'Raw Data'!A257</x:f>
        <x:v>1</x:v>
      </x:c>
      <x:c r="C257" s="38" t="n">
        <x:f>'Raw Data'!B257</x:f>
        <x:v>1</x:v>
      </x:c>
      <x:c r="D257" s="10" t="n">
        <x:f>'Raw Data'!C257</x:f>
        <x:v>10379</x:v>
      </x:c>
      <x:c r="E257" s="10" t="n">
        <x:f>'Raw Data'!D257</x:f>
        <x:v>17972</x:v>
      </x:c>
      <x:c r="F257" s="10" t="n">
        <x:f>'Raw Data'!E257</x:f>
        <x:v>4748</x:v>
      </x:c>
      <x:c r="G257" s="10" t="n">
        <x:f>'Raw Data'!F257</x:f>
        <x:v>4686</x:v>
      </x:c>
      <x:c r="H257" s="10" t="n">
        <x:f>'Raw Data'!G257</x:f>
        <x:v>1547</x:v>
      </x:c>
      <x:c r="I257" s="10" t="n">
        <x:f>'Raw Data'!H257</x:f>
        <x:v>3265</x:v>
      </x:c>
      <x:c r="J257" s="10" t="str">
        <x:f>VLOOKUP(B257,'Lookups &amp; Notes'!$A$4:$B$5,2,FALSE)</x:f>
        <x:v>Horeca</x:v>
      </x:c>
      <x:c r="K257" s="10" t="str">
        <x:f>VLOOKUP(C257,'Lookups &amp; Notes'!$A$8:$B$10,2,FALSE)</x:f>
        <x:v>Lisbon</x:v>
      </x:c>
      <x:c r="L257" s="10" t="n">
        <x:f>SUM(D257:I257)</x:f>
        <x:v>42597</x:v>
      </x:c>
      <x:c r="M257" s="39" t="n">
        <x:f>IFERROR(F257/L257,0)</x:f>
        <x:v>0.11146324858558114</x:v>
      </x:c>
      <x:c r="N257" s="38" t="str">
        <x:f>IF(L257&gt;='Lookups &amp; Notes'!$E$4,"High Value","Standard")</x:f>
        <x:v>High Value</x:v>
      </x:c>
    </x:row>
    <x:row r="258">
      <x:c r="A258" s="38" t="str">
        <x:v>CUST-256</x:v>
      </x:c>
      <x:c r="B258" s="38" t="n">
        <x:f>'Raw Data'!A258</x:f>
        <x:v>1</x:v>
      </x:c>
      <x:c r="C258" s="38" t="n">
        <x:f>'Raw Data'!B258</x:f>
        <x:v>1</x:v>
      </x:c>
      <x:c r="D258" s="10" t="n">
        <x:f>'Raw Data'!C258</x:f>
        <x:v>31614</x:v>
      </x:c>
      <x:c r="E258" s="10" t="n">
        <x:f>'Raw Data'!D258</x:f>
        <x:v>489</x:v>
      </x:c>
      <x:c r="F258" s="10" t="n">
        <x:f>'Raw Data'!E258</x:f>
        <x:v>1495</x:v>
      </x:c>
      <x:c r="G258" s="10" t="n">
        <x:f>'Raw Data'!F258</x:f>
        <x:v>3242</x:v>
      </x:c>
      <x:c r="H258" s="10" t="n">
        <x:f>'Raw Data'!G258</x:f>
        <x:v>111</x:v>
      </x:c>
      <x:c r="I258" s="10" t="n">
        <x:f>'Raw Data'!H258</x:f>
        <x:v>615</x:v>
      </x:c>
      <x:c r="J258" s="10" t="str">
        <x:f>VLOOKUP(B258,'Lookups &amp; Notes'!$A$4:$B$5,2,FALSE)</x:f>
        <x:v>Horeca</x:v>
      </x:c>
      <x:c r="K258" s="10" t="str">
        <x:f>VLOOKUP(C258,'Lookups &amp; Notes'!$A$8:$B$10,2,FALSE)</x:f>
        <x:v>Lisbon</x:v>
      </x:c>
      <x:c r="L258" s="10" t="n">
        <x:f>SUM(D258:I258)</x:f>
        <x:v>37566</x:v>
      </x:c>
      <x:c r="M258" s="39" t="n">
        <x:f>IFERROR(F258/L258,0)</x:f>
        <x:v>0.039796624607357715</x:v>
      </x:c>
      <x:c r="N258" s="38" t="str">
        <x:f>IF(L258&gt;='Lookups &amp; Notes'!$E$4,"High Value","Standard")</x:f>
        <x:v>High Value</x:v>
      </x:c>
    </x:row>
    <x:row r="259">
      <x:c r="A259" s="38" t="str">
        <x:v>CUST-257</x:v>
      </x:c>
      <x:c r="B259" s="38" t="n">
        <x:f>'Raw Data'!A259</x:f>
        <x:v>1</x:v>
      </x:c>
      <x:c r="C259" s="38" t="n">
        <x:f>'Raw Data'!B259</x:f>
        <x:v>1</x:v>
      </x:c>
      <x:c r="D259" s="10" t="n">
        <x:f>'Raw Data'!C259</x:f>
        <x:v>11092</x:v>
      </x:c>
      <x:c r="E259" s="10" t="n">
        <x:f>'Raw Data'!D259</x:f>
        <x:v>5008</x:v>
      </x:c>
      <x:c r="F259" s="10" t="n">
        <x:f>'Raw Data'!E259</x:f>
        <x:v>5249</x:v>
      </x:c>
      <x:c r="G259" s="10" t="n">
        <x:f>'Raw Data'!F259</x:f>
        <x:v>453</x:v>
      </x:c>
      <x:c r="H259" s="10" t="n">
        <x:f>'Raw Data'!G259</x:f>
        <x:v>392</x:v>
      </x:c>
      <x:c r="I259" s="10" t="n">
        <x:f>'Raw Data'!H259</x:f>
        <x:v>373</x:v>
      </x:c>
      <x:c r="J259" s="10" t="str">
        <x:f>VLOOKUP(B259,'Lookups &amp; Notes'!$A$4:$B$5,2,FALSE)</x:f>
        <x:v>Horeca</x:v>
      </x:c>
      <x:c r="K259" s="10" t="str">
        <x:f>VLOOKUP(C259,'Lookups &amp; Notes'!$A$8:$B$10,2,FALSE)</x:f>
        <x:v>Lisbon</x:v>
      </x:c>
      <x:c r="L259" s="10" t="n">
        <x:f>SUM(D259:I259)</x:f>
        <x:v>22567</x:v>
      </x:c>
      <x:c r="M259" s="39" t="n">
        <x:f>IFERROR(F259/L259,0)</x:f>
        <x:v>0.2325962688881996</x:v>
      </x:c>
      <x:c r="N259" s="38" t="str">
        <x:f>IF(L259&gt;='Lookups &amp; Notes'!$E$4,"High Value","Standard")</x:f>
        <x:v>Standard</x:v>
      </x:c>
    </x:row>
    <x:row r="260">
      <x:c r="A260" s="38" t="str">
        <x:v>CUST-258</x:v>
      </x:c>
      <x:c r="B260" s="38" t="n">
        <x:f>'Raw Data'!A260</x:f>
        <x:v>1</x:v>
      </x:c>
      <x:c r="C260" s="38" t="n">
        <x:f>'Raw Data'!B260</x:f>
        <x:v>1</x:v>
      </x:c>
      <x:c r="D260" s="10" t="n">
        <x:f>'Raw Data'!C260</x:f>
        <x:v>8475</x:v>
      </x:c>
      <x:c r="E260" s="10" t="n">
        <x:f>'Raw Data'!D260</x:f>
        <x:v>1931</x:v>
      </x:c>
      <x:c r="F260" s="10" t="n">
        <x:f>'Raw Data'!E260</x:f>
        <x:v>1883</x:v>
      </x:c>
      <x:c r="G260" s="10" t="n">
        <x:f>'Raw Data'!F260</x:f>
        <x:v>5004</x:v>
      </x:c>
      <x:c r="H260" s="10" t="n">
        <x:f>'Raw Data'!G260</x:f>
        <x:v>3593</x:v>
      </x:c>
      <x:c r="I260" s="10" t="n">
        <x:f>'Raw Data'!H260</x:f>
        <x:v>987</x:v>
      </x:c>
      <x:c r="J260" s="10" t="str">
        <x:f>VLOOKUP(B260,'Lookups &amp; Notes'!$A$4:$B$5,2,FALSE)</x:f>
        <x:v>Horeca</x:v>
      </x:c>
      <x:c r="K260" s="10" t="str">
        <x:f>VLOOKUP(C260,'Lookups &amp; Notes'!$A$8:$B$10,2,FALSE)</x:f>
        <x:v>Lisbon</x:v>
      </x:c>
      <x:c r="L260" s="10" t="n">
        <x:f>SUM(D260:I260)</x:f>
        <x:v>21873</x:v>
      </x:c>
      <x:c r="M260" s="39" t="n">
        <x:f>IFERROR(F260/L260,0)</x:f>
        <x:v>0.0860878708910529</x:v>
      </x:c>
      <x:c r="N260" s="38" t="str">
        <x:f>IF(L260&gt;='Lookups &amp; Notes'!$E$4,"High Value","Standard")</x:f>
        <x:v>Standard</x:v>
      </x:c>
    </x:row>
    <x:row r="261">
      <x:c r="A261" s="38" t="str">
        <x:v>CUST-259</x:v>
      </x:c>
      <x:c r="B261" s="38" t="n">
        <x:f>'Raw Data'!A261</x:f>
        <x:v>1</x:v>
      </x:c>
      <x:c r="C261" s="38" t="n">
        <x:f>'Raw Data'!B261</x:f>
        <x:v>1</x:v>
      </x:c>
      <x:c r="D261" s="10" t="n">
        <x:f>'Raw Data'!C261</x:f>
        <x:v>56083</x:v>
      </x:c>
      <x:c r="E261" s="10" t="n">
        <x:f>'Raw Data'!D261</x:f>
        <x:v>4563</x:v>
      </x:c>
      <x:c r="F261" s="10" t="n">
        <x:f>'Raw Data'!E261</x:f>
        <x:v>2124</x:v>
      </x:c>
      <x:c r="G261" s="10" t="n">
        <x:f>'Raw Data'!F261</x:f>
        <x:v>6422</x:v>
      </x:c>
      <x:c r="H261" s="10" t="n">
        <x:f>'Raw Data'!G261</x:f>
        <x:v>730</x:v>
      </x:c>
      <x:c r="I261" s="10" t="n">
        <x:f>'Raw Data'!H261</x:f>
        <x:v>3321</x:v>
      </x:c>
      <x:c r="J261" s="10" t="str">
        <x:f>VLOOKUP(B261,'Lookups &amp; Notes'!$A$4:$B$5,2,FALSE)</x:f>
        <x:v>Horeca</x:v>
      </x:c>
      <x:c r="K261" s="10" t="str">
        <x:f>VLOOKUP(C261,'Lookups &amp; Notes'!$A$8:$B$10,2,FALSE)</x:f>
        <x:v>Lisbon</x:v>
      </x:c>
      <x:c r="L261" s="10" t="n">
        <x:f>SUM(D261:I261)</x:f>
        <x:v>73243</x:v>
      </x:c>
      <x:c r="M261" s="39" t="n">
        <x:f>IFERROR(F261/L261,0)</x:f>
        <x:v>0.02899935830045192</x:v>
      </x:c>
      <x:c r="N261" s="38" t="str">
        <x:f>IF(L261&gt;='Lookups &amp; Notes'!$E$4,"High Value","Standard")</x:f>
        <x:v>High Value</x:v>
      </x:c>
    </x:row>
    <x:row r="262">
      <x:c r="A262" s="38" t="str">
        <x:v>CUST-260</x:v>
      </x:c>
      <x:c r="B262" s="38" t="n">
        <x:f>'Raw Data'!A262</x:f>
        <x:v>1</x:v>
      </x:c>
      <x:c r="C262" s="38" t="n">
        <x:f>'Raw Data'!B262</x:f>
        <x:v>1</x:v>
      </x:c>
      <x:c r="D262" s="10" t="n">
        <x:f>'Raw Data'!C262</x:f>
        <x:v>53205</x:v>
      </x:c>
      <x:c r="E262" s="10" t="n">
        <x:f>'Raw Data'!D262</x:f>
        <x:v>4959</x:v>
      </x:c>
      <x:c r="F262" s="10" t="n">
        <x:f>'Raw Data'!E262</x:f>
        <x:v>7336</x:v>
      </x:c>
      <x:c r="G262" s="10" t="n">
        <x:f>'Raw Data'!F262</x:f>
        <x:v>3012</x:v>
      </x:c>
      <x:c r="H262" s="10" t="n">
        <x:f>'Raw Data'!G262</x:f>
        <x:v>967</x:v>
      </x:c>
      <x:c r="I262" s="10" t="n">
        <x:f>'Raw Data'!H262</x:f>
        <x:v>818</x:v>
      </x:c>
      <x:c r="J262" s="10" t="str">
        <x:f>VLOOKUP(B262,'Lookups &amp; Notes'!$A$4:$B$5,2,FALSE)</x:f>
        <x:v>Horeca</x:v>
      </x:c>
      <x:c r="K262" s="10" t="str">
        <x:f>VLOOKUP(C262,'Lookups &amp; Notes'!$A$8:$B$10,2,FALSE)</x:f>
        <x:v>Lisbon</x:v>
      </x:c>
      <x:c r="L262" s="10" t="n">
        <x:f>SUM(D262:I262)</x:f>
        <x:v>70297</x:v>
      </x:c>
      <x:c r="M262" s="39" t="n">
        <x:f>IFERROR(F262/L262,0)</x:f>
        <x:v>0.10435722719319458</x:v>
      </x:c>
      <x:c r="N262" s="38" t="str">
        <x:f>IF(L262&gt;='Lookups &amp; Notes'!$E$4,"High Value","Standard")</x:f>
        <x:v>High Value</x:v>
      </x:c>
    </x:row>
    <x:row r="263">
      <x:c r="A263" s="38" t="str">
        <x:v>CUST-261</x:v>
      </x:c>
      <x:c r="B263" s="38" t="n">
        <x:f>'Raw Data'!A263</x:f>
        <x:v>1</x:v>
      </x:c>
      <x:c r="C263" s="38" t="n">
        <x:f>'Raw Data'!B263</x:f>
        <x:v>1</x:v>
      </x:c>
      <x:c r="D263" s="10" t="n">
        <x:f>'Raw Data'!C263</x:f>
        <x:v>9193</x:v>
      </x:c>
      <x:c r="E263" s="10" t="n">
        <x:f>'Raw Data'!D263</x:f>
        <x:v>4885</x:v>
      </x:c>
      <x:c r="F263" s="10" t="n">
        <x:f>'Raw Data'!E263</x:f>
        <x:v>2157</x:v>
      </x:c>
      <x:c r="G263" s="10" t="n">
        <x:f>'Raw Data'!F263</x:f>
        <x:v>327</x:v>
      </x:c>
      <x:c r="H263" s="10" t="n">
        <x:f>'Raw Data'!G263</x:f>
        <x:v>780</x:v>
      </x:c>
      <x:c r="I263" s="10" t="n">
        <x:f>'Raw Data'!H263</x:f>
        <x:v>548</x:v>
      </x:c>
      <x:c r="J263" s="10" t="str">
        <x:f>VLOOKUP(B263,'Lookups &amp; Notes'!$A$4:$B$5,2,FALSE)</x:f>
        <x:v>Horeca</x:v>
      </x:c>
      <x:c r="K263" s="10" t="str">
        <x:f>VLOOKUP(C263,'Lookups &amp; Notes'!$A$8:$B$10,2,FALSE)</x:f>
        <x:v>Lisbon</x:v>
      </x:c>
      <x:c r="L263" s="10" t="n">
        <x:f>SUM(D263:I263)</x:f>
        <x:v>17890</x:v>
      </x:c>
      <x:c r="M263" s="39" t="n">
        <x:f>IFERROR(F263/L263,0)</x:f>
        <x:v>0.12057015092230296</x:v>
      </x:c>
      <x:c r="N263" s="38" t="str">
        <x:f>IF(L263&gt;='Lookups &amp; Notes'!$E$4,"High Value","Standard")</x:f>
        <x:v>Standard</x:v>
      </x:c>
    </x:row>
    <x:row r="264">
      <x:c r="A264" s="38" t="str">
        <x:v>CUST-262</x:v>
      </x:c>
      <x:c r="B264" s="38" t="n">
        <x:f>'Raw Data'!A264</x:f>
        <x:v>1</x:v>
      </x:c>
      <x:c r="C264" s="38" t="n">
        <x:f>'Raw Data'!B264</x:f>
        <x:v>1</x:v>
      </x:c>
      <x:c r="D264" s="10" t="n">
        <x:f>'Raw Data'!C264</x:f>
        <x:v>7858</x:v>
      </x:c>
      <x:c r="E264" s="10" t="n">
        <x:f>'Raw Data'!D264</x:f>
        <x:v>1110</x:v>
      </x:c>
      <x:c r="F264" s="10" t="n">
        <x:f>'Raw Data'!E264</x:f>
        <x:v>1094</x:v>
      </x:c>
      <x:c r="G264" s="10" t="n">
        <x:f>'Raw Data'!F264</x:f>
        <x:v>6818</x:v>
      </x:c>
      <x:c r="H264" s="10" t="n">
        <x:f>'Raw Data'!G264</x:f>
        <x:v>49</x:v>
      </x:c>
      <x:c r="I264" s="10" t="n">
        <x:f>'Raw Data'!H264</x:f>
        <x:v>287</x:v>
      </x:c>
      <x:c r="J264" s="10" t="str">
        <x:f>VLOOKUP(B264,'Lookups &amp; Notes'!$A$4:$B$5,2,FALSE)</x:f>
        <x:v>Horeca</x:v>
      </x:c>
      <x:c r="K264" s="10" t="str">
        <x:f>VLOOKUP(C264,'Lookups &amp; Notes'!$A$8:$B$10,2,FALSE)</x:f>
        <x:v>Lisbon</x:v>
      </x:c>
      <x:c r="L264" s="10" t="n">
        <x:f>SUM(D264:I264)</x:f>
        <x:v>17216</x:v>
      </x:c>
      <x:c r="M264" s="39" t="n">
        <x:f>IFERROR(F264/L264,0)</x:f>
        <x:v>0.06354553903345725</x:v>
      </x:c>
      <x:c r="N264" s="38" t="str">
        <x:f>IF(L264&gt;='Lookups &amp; Notes'!$E$4,"High Value","Standard")</x:f>
        <x:v>Standard</x:v>
      </x:c>
    </x:row>
    <x:row r="265">
      <x:c r="A265" s="38" t="str">
        <x:v>CUST-263</x:v>
      </x:c>
      <x:c r="B265" s="38" t="n">
        <x:f>'Raw Data'!A265</x:f>
        <x:v>1</x:v>
      </x:c>
      <x:c r="C265" s="38" t="n">
        <x:f>'Raw Data'!B265</x:f>
        <x:v>1</x:v>
      </x:c>
      <x:c r="D265" s="10" t="n">
        <x:f>'Raw Data'!C265</x:f>
        <x:v>23257</x:v>
      </x:c>
      <x:c r="E265" s="10" t="n">
        <x:f>'Raw Data'!D265</x:f>
        <x:v>1372</x:v>
      </x:c>
      <x:c r="F265" s="10" t="n">
        <x:f>'Raw Data'!E265</x:f>
        <x:v>1677</x:v>
      </x:c>
      <x:c r="G265" s="10" t="n">
        <x:f>'Raw Data'!F265</x:f>
        <x:v>982</x:v>
      </x:c>
      <x:c r="H265" s="10" t="n">
        <x:f>'Raw Data'!G265</x:f>
        <x:v>429</x:v>
      </x:c>
      <x:c r="I265" s="10" t="n">
        <x:f>'Raw Data'!H265</x:f>
        <x:v>655</x:v>
      </x:c>
      <x:c r="J265" s="10" t="str">
        <x:f>VLOOKUP(B265,'Lookups &amp; Notes'!$A$4:$B$5,2,FALSE)</x:f>
        <x:v>Horeca</x:v>
      </x:c>
      <x:c r="K265" s="10" t="str">
        <x:f>VLOOKUP(C265,'Lookups &amp; Notes'!$A$8:$B$10,2,FALSE)</x:f>
        <x:v>Lisbon</x:v>
      </x:c>
      <x:c r="L265" s="10" t="n">
        <x:f>SUM(D265:I265)</x:f>
        <x:v>28372</x:v>
      </x:c>
      <x:c r="M265" s="39" t="n">
        <x:f>IFERROR(F265/L265,0)</x:f>
        <x:v>0.05910757084449457</x:v>
      </x:c>
      <x:c r="N265" s="38" t="str">
        <x:f>IF(L265&gt;='Lookups &amp; Notes'!$E$4,"High Value","Standard")</x:f>
        <x:v>High Value</x:v>
      </x:c>
    </x:row>
    <x:row r="266">
      <x:c r="A266" s="38" t="str">
        <x:v>CUST-264</x:v>
      </x:c>
      <x:c r="B266" s="38" t="n">
        <x:f>'Raw Data'!A266</x:f>
        <x:v>1</x:v>
      </x:c>
      <x:c r="C266" s="38" t="n">
        <x:f>'Raw Data'!B266</x:f>
        <x:v>1</x:v>
      </x:c>
      <x:c r="D266" s="10" t="n">
        <x:f>'Raw Data'!C266</x:f>
        <x:v>2153</x:v>
      </x:c>
      <x:c r="E266" s="10" t="n">
        <x:f>'Raw Data'!D266</x:f>
        <x:v>1115</x:v>
      </x:c>
      <x:c r="F266" s="10" t="n">
        <x:f>'Raw Data'!E266</x:f>
        <x:v>6684</x:v>
      </x:c>
      <x:c r="G266" s="10" t="n">
        <x:f>'Raw Data'!F266</x:f>
        <x:v>4324</x:v>
      </x:c>
      <x:c r="H266" s="10" t="n">
        <x:f>'Raw Data'!G266</x:f>
        <x:v>2894</x:v>
      </x:c>
      <x:c r="I266" s="10" t="n">
        <x:f>'Raw Data'!H266</x:f>
        <x:v>411</x:v>
      </x:c>
      <x:c r="J266" s="10" t="str">
        <x:f>VLOOKUP(B266,'Lookups &amp; Notes'!$A$4:$B$5,2,FALSE)</x:f>
        <x:v>Horeca</x:v>
      </x:c>
      <x:c r="K266" s="10" t="str">
        <x:f>VLOOKUP(C266,'Lookups &amp; Notes'!$A$8:$B$10,2,FALSE)</x:f>
        <x:v>Lisbon</x:v>
      </x:c>
      <x:c r="L266" s="10" t="n">
        <x:f>SUM(D266:I266)</x:f>
        <x:v>17581</x:v>
      </x:c>
      <x:c r="M266" s="39" t="n">
        <x:f>IFERROR(F266/L266,0)</x:f>
        <x:v>0.3801831522666515</x:v>
      </x:c>
      <x:c r="N266" s="38" t="str">
        <x:f>IF(L266&gt;='Lookups &amp; Notes'!$E$4,"High Value","Standard")</x:f>
        <x:v>Standard</x:v>
      </x:c>
    </x:row>
    <x:row r="267">
      <x:c r="A267" s="38" t="str">
        <x:v>CUST-265</x:v>
      </x:c>
      <x:c r="B267" s="38" t="n">
        <x:f>'Raw Data'!A267</x:f>
        <x:v>2</x:v>
      </x:c>
      <x:c r="C267" s="38" t="n">
        <x:f>'Raw Data'!B267</x:f>
        <x:v>1</x:v>
      </x:c>
      <x:c r="D267" s="10" t="n">
        <x:f>'Raw Data'!C267</x:f>
        <x:v>1073</x:v>
      </x:c>
      <x:c r="E267" s="10" t="n">
        <x:f>'Raw Data'!D267</x:f>
        <x:v>9679</x:v>
      </x:c>
      <x:c r="F267" s="10" t="n">
        <x:f>'Raw Data'!E267</x:f>
        <x:v>15445</x:v>
      </x:c>
      <x:c r="G267" s="10" t="n">
        <x:f>'Raw Data'!F267</x:f>
        <x:v>61</x:v>
      </x:c>
      <x:c r="H267" s="10" t="n">
        <x:f>'Raw Data'!G267</x:f>
        <x:v>5980</x:v>
      </x:c>
      <x:c r="I267" s="10" t="n">
        <x:f>'Raw Data'!H267</x:f>
        <x:v>1265</x:v>
      </x:c>
      <x:c r="J267" s="10" t="str">
        <x:f>VLOOKUP(B267,'Lookups &amp; Notes'!$A$4:$B$5,2,FALSE)</x:f>
        <x:v>Retail</x:v>
      </x:c>
      <x:c r="K267" s="10" t="str">
        <x:f>VLOOKUP(C267,'Lookups &amp; Notes'!$A$8:$B$10,2,FALSE)</x:f>
        <x:v>Lisbon</x:v>
      </x:c>
      <x:c r="L267" s="10" t="n">
        <x:f>SUM(D267:I267)</x:f>
        <x:v>33503</x:v>
      </x:c>
      <x:c r="M267" s="39" t="n">
        <x:f>IFERROR(F267/L267,0)</x:f>
        <x:v>0.4610034922245769</x:v>
      </x:c>
      <x:c r="N267" s="38" t="str">
        <x:f>IF(L267&gt;='Lookups &amp; Notes'!$E$4,"High Value","Standard")</x:f>
        <x:v>High Value</x:v>
      </x:c>
    </x:row>
    <x:row r="268">
      <x:c r="A268" s="38" t="str">
        <x:v>CUST-266</x:v>
      </x:c>
      <x:c r="B268" s="38" t="n">
        <x:f>'Raw Data'!A268</x:f>
        <x:v>1</x:v>
      </x:c>
      <x:c r="C268" s="38" t="n">
        <x:f>'Raw Data'!B268</x:f>
        <x:v>1</x:v>
      </x:c>
      <x:c r="D268" s="10" t="n">
        <x:f>'Raw Data'!C268</x:f>
        <x:v>5909</x:v>
      </x:c>
      <x:c r="E268" s="10" t="n">
        <x:f>'Raw Data'!D268</x:f>
        <x:v>23527</x:v>
      </x:c>
      <x:c r="F268" s="10" t="n">
        <x:f>'Raw Data'!E268</x:f>
        <x:v>13699</x:v>
      </x:c>
      <x:c r="G268" s="10" t="n">
        <x:f>'Raw Data'!F268</x:f>
        <x:v>10155</x:v>
      </x:c>
      <x:c r="H268" s="10" t="n">
        <x:f>'Raw Data'!G268</x:f>
        <x:v>830</x:v>
      </x:c>
      <x:c r="I268" s="10" t="n">
        <x:f>'Raw Data'!H268</x:f>
        <x:v>3636</x:v>
      </x:c>
      <x:c r="J268" s="10" t="str">
        <x:f>VLOOKUP(B268,'Lookups &amp; Notes'!$A$4:$B$5,2,FALSE)</x:f>
        <x:v>Horeca</x:v>
      </x:c>
      <x:c r="K268" s="10" t="str">
        <x:f>VLOOKUP(C268,'Lookups &amp; Notes'!$A$8:$B$10,2,FALSE)</x:f>
        <x:v>Lisbon</x:v>
      </x:c>
      <x:c r="L268" s="10" t="n">
        <x:f>SUM(D268:I268)</x:f>
        <x:v>57756</x:v>
      </x:c>
      <x:c r="M268" s="39" t="n">
        <x:f>IFERROR(F268/L268,0)</x:f>
        <x:v>0.23718747835722695</x:v>
      </x:c>
      <x:c r="N268" s="38" t="str">
        <x:f>IF(L268&gt;='Lookups &amp; Notes'!$E$4,"High Value","Standard")</x:f>
        <x:v>High Value</x:v>
      </x:c>
    </x:row>
    <x:row r="269">
      <x:c r="A269" s="38" t="str">
        <x:v>CUST-267</x:v>
      </x:c>
      <x:c r="B269" s="38" t="n">
        <x:f>'Raw Data'!A269</x:f>
        <x:v>2</x:v>
      </x:c>
      <x:c r="C269" s="38" t="n">
        <x:f>'Raw Data'!B269</x:f>
        <x:v>1</x:v>
      </x:c>
      <x:c r="D269" s="10" t="n">
        <x:f>'Raw Data'!C269</x:f>
        <x:v>572</x:v>
      </x:c>
      <x:c r="E269" s="10" t="n">
        <x:f>'Raw Data'!D269</x:f>
        <x:v>9763</x:v>
      </x:c>
      <x:c r="F269" s="10" t="n">
        <x:f>'Raw Data'!E269</x:f>
        <x:v>22182</x:v>
      </x:c>
      <x:c r="G269" s="10" t="n">
        <x:f>'Raw Data'!F269</x:f>
        <x:v>2221</x:v>
      </x:c>
      <x:c r="H269" s="10" t="n">
        <x:f>'Raw Data'!G269</x:f>
        <x:v>4882</x:v>
      </x:c>
      <x:c r="I269" s="10" t="n">
        <x:f>'Raw Data'!H269</x:f>
        <x:v>2563</x:v>
      </x:c>
      <x:c r="J269" s="10" t="str">
        <x:f>VLOOKUP(B269,'Lookups &amp; Notes'!$A$4:$B$5,2,FALSE)</x:f>
        <x:v>Retail</x:v>
      </x:c>
      <x:c r="K269" s="10" t="str">
        <x:f>VLOOKUP(C269,'Lookups &amp; Notes'!$A$8:$B$10,2,FALSE)</x:f>
        <x:v>Lisbon</x:v>
      </x:c>
      <x:c r="L269" s="10" t="n">
        <x:f>SUM(D269:I269)</x:f>
        <x:v>42183</x:v>
      </x:c>
      <x:c r="M269" s="39" t="n">
        <x:f>IFERROR(F269/L269,0)</x:f>
        <x:v>0.525851646397838</x:v>
      </x:c>
      <x:c r="N269" s="38" t="str">
        <x:f>IF(L269&gt;='Lookups &amp; Notes'!$E$4,"High Value","Standard")</x:f>
        <x:v>High Value</x:v>
      </x:c>
    </x:row>
    <x:row r="270">
      <x:c r="A270" s="38" t="str">
        <x:v>CUST-268</x:v>
      </x:c>
      <x:c r="B270" s="38" t="n">
        <x:f>'Raw Data'!A270</x:f>
        <x:v>1</x:v>
      </x:c>
      <x:c r="C270" s="38" t="n">
        <x:f>'Raw Data'!B270</x:f>
        <x:v>1</x:v>
      </x:c>
      <x:c r="D270" s="10" t="n">
        <x:f>'Raw Data'!C270</x:f>
        <x:v>20893</x:v>
      </x:c>
      <x:c r="E270" s="10" t="n">
        <x:f>'Raw Data'!D270</x:f>
        <x:v>1222</x:v>
      </x:c>
      <x:c r="F270" s="10" t="n">
        <x:f>'Raw Data'!E270</x:f>
        <x:v>2576</x:v>
      </x:c>
      <x:c r="G270" s="10" t="n">
        <x:f>'Raw Data'!F270</x:f>
        <x:v>3975</x:v>
      </x:c>
      <x:c r="H270" s="10" t="n">
        <x:f>'Raw Data'!G270</x:f>
        <x:v>737</x:v>
      </x:c>
      <x:c r="I270" s="10" t="n">
        <x:f>'Raw Data'!H270</x:f>
        <x:v>3628</x:v>
      </x:c>
      <x:c r="J270" s="10" t="str">
        <x:f>VLOOKUP(B270,'Lookups &amp; Notes'!$A$4:$B$5,2,FALSE)</x:f>
        <x:v>Horeca</x:v>
      </x:c>
      <x:c r="K270" s="10" t="str">
        <x:f>VLOOKUP(C270,'Lookups &amp; Notes'!$A$8:$B$10,2,FALSE)</x:f>
        <x:v>Lisbon</x:v>
      </x:c>
      <x:c r="L270" s="10" t="n">
        <x:f>SUM(D270:I270)</x:f>
        <x:v>33031</x:v>
      </x:c>
      <x:c r="M270" s="39" t="n">
        <x:f>IFERROR(F270/L270,0)</x:f>
        <x:v>0.07798734522115588</x:v>
      </x:c>
      <x:c r="N270" s="38" t="str">
        <x:f>IF(L270&gt;='Lookups &amp; Notes'!$E$4,"High Value","Standard")</x:f>
        <x:v>High Value</x:v>
      </x:c>
    </x:row>
    <x:row r="271">
      <x:c r="A271" s="38" t="str">
        <x:v>CUST-269</x:v>
      </x:c>
      <x:c r="B271" s="38" t="n">
        <x:f>'Raw Data'!A271</x:f>
        <x:v>2</x:v>
      </x:c>
      <x:c r="C271" s="38" t="n">
        <x:f>'Raw Data'!B271</x:f>
        <x:v>1</x:v>
      </x:c>
      <x:c r="D271" s="10" t="n">
        <x:f>'Raw Data'!C271</x:f>
        <x:v>11908</x:v>
      </x:c>
      <x:c r="E271" s="10" t="n">
        <x:f>'Raw Data'!D271</x:f>
        <x:v>8053</x:v>
      </x:c>
      <x:c r="F271" s="10" t="n">
        <x:f>'Raw Data'!E271</x:f>
        <x:v>19847</x:v>
      </x:c>
      <x:c r="G271" s="10" t="n">
        <x:f>'Raw Data'!F271</x:f>
        <x:v>1069</x:v>
      </x:c>
      <x:c r="H271" s="10" t="n">
        <x:f>'Raw Data'!G271</x:f>
        <x:v>6374</x:v>
      </x:c>
      <x:c r="I271" s="10" t="n">
        <x:f>'Raw Data'!H271</x:f>
        <x:v>698</x:v>
      </x:c>
      <x:c r="J271" s="10" t="str">
        <x:f>VLOOKUP(B271,'Lookups &amp; Notes'!$A$4:$B$5,2,FALSE)</x:f>
        <x:v>Retail</x:v>
      </x:c>
      <x:c r="K271" s="10" t="str">
        <x:f>VLOOKUP(C271,'Lookups &amp; Notes'!$A$8:$B$10,2,FALSE)</x:f>
        <x:v>Lisbon</x:v>
      </x:c>
      <x:c r="L271" s="10" t="n">
        <x:f>SUM(D271:I271)</x:f>
        <x:v>47949</x:v>
      </x:c>
      <x:c r="M271" s="39" t="n">
        <x:f>IFERROR(F271/L271,0)</x:f>
        <x:v>0.4139189555569459</x:v>
      </x:c>
      <x:c r="N271" s="38" t="str">
        <x:f>IF(L271&gt;='Lookups &amp; Notes'!$E$4,"High Value","Standard")</x:f>
        <x:v>High Value</x:v>
      </x:c>
    </x:row>
    <x:row r="272">
      <x:c r="A272" s="38" t="str">
        <x:v>CUST-270</x:v>
      </x:c>
      <x:c r="B272" s="38" t="n">
        <x:f>'Raw Data'!A272</x:f>
        <x:v>1</x:v>
      </x:c>
      <x:c r="C272" s="38" t="n">
        <x:f>'Raw Data'!B272</x:f>
        <x:v>1</x:v>
      </x:c>
      <x:c r="D272" s="10" t="n">
        <x:f>'Raw Data'!C272</x:f>
        <x:v>15218</x:v>
      </x:c>
      <x:c r="E272" s="10" t="n">
        <x:f>'Raw Data'!D272</x:f>
        <x:v>258</x:v>
      </x:c>
      <x:c r="F272" s="10" t="n">
        <x:f>'Raw Data'!E272</x:f>
        <x:v>1138</x:v>
      </x:c>
      <x:c r="G272" s="10" t="n">
        <x:f>'Raw Data'!F272</x:f>
        <x:v>2516</x:v>
      </x:c>
      <x:c r="H272" s="10" t="n">
        <x:f>'Raw Data'!G272</x:f>
        <x:v>333</x:v>
      </x:c>
      <x:c r="I272" s="10" t="n">
        <x:f>'Raw Data'!H272</x:f>
        <x:v>204</x:v>
      </x:c>
      <x:c r="J272" s="10" t="str">
        <x:f>VLOOKUP(B272,'Lookups &amp; Notes'!$A$4:$B$5,2,FALSE)</x:f>
        <x:v>Horeca</x:v>
      </x:c>
      <x:c r="K272" s="10" t="str">
        <x:f>VLOOKUP(C272,'Lookups &amp; Notes'!$A$8:$B$10,2,FALSE)</x:f>
        <x:v>Lisbon</x:v>
      </x:c>
      <x:c r="L272" s="10" t="n">
        <x:f>SUM(D272:I272)</x:f>
        <x:v>19667</x:v>
      </x:c>
      <x:c r="M272" s="39" t="n">
        <x:f>IFERROR(F272/L272,0)</x:f>
        <x:v>0.057863426043626376</x:v>
      </x:c>
      <x:c r="N272" s="38" t="str">
        <x:f>IF(L272&gt;='Lookups &amp; Notes'!$E$4,"High Value","Standard")</x:f>
        <x:v>Standard</x:v>
      </x:c>
    </x:row>
    <x:row r="273">
      <x:c r="A273" s="38" t="str">
        <x:v>CUST-271</x:v>
      </x:c>
      <x:c r="B273" s="38" t="n">
        <x:f>'Raw Data'!A273</x:f>
        <x:v>1</x:v>
      </x:c>
      <x:c r="C273" s="38" t="n">
        <x:f>'Raw Data'!B273</x:f>
        <x:v>1</x:v>
      </x:c>
      <x:c r="D273" s="10" t="n">
        <x:f>'Raw Data'!C273</x:f>
        <x:v>4720</x:v>
      </x:c>
      <x:c r="E273" s="10" t="n">
        <x:f>'Raw Data'!D273</x:f>
        <x:v>1032</x:v>
      </x:c>
      <x:c r="F273" s="10" t="n">
        <x:f>'Raw Data'!E273</x:f>
        <x:v>975</x:v>
      </x:c>
      <x:c r="G273" s="10" t="n">
        <x:f>'Raw Data'!F273</x:f>
        <x:v>5500</x:v>
      </x:c>
      <x:c r="H273" s="10" t="n">
        <x:f>'Raw Data'!G273</x:f>
        <x:v>197</x:v>
      </x:c>
      <x:c r="I273" s="10" t="n">
        <x:f>'Raw Data'!H273</x:f>
        <x:v>56</x:v>
      </x:c>
      <x:c r="J273" s="10" t="str">
        <x:f>VLOOKUP(B273,'Lookups &amp; Notes'!$A$4:$B$5,2,FALSE)</x:f>
        <x:v>Horeca</x:v>
      </x:c>
      <x:c r="K273" s="10" t="str">
        <x:f>VLOOKUP(C273,'Lookups &amp; Notes'!$A$8:$B$10,2,FALSE)</x:f>
        <x:v>Lisbon</x:v>
      </x:c>
      <x:c r="L273" s="10" t="n">
        <x:f>SUM(D273:I273)</x:f>
        <x:v>12480</x:v>
      </x:c>
      <x:c r="M273" s="39" t="n">
        <x:f>IFERROR(F273/L273,0)</x:f>
        <x:v>0.078125</x:v>
      </x:c>
      <x:c r="N273" s="38" t="str">
        <x:f>IF(L273&gt;='Lookups &amp; Notes'!$E$4,"High Value","Standard")</x:f>
        <x:v>Standard</x:v>
      </x:c>
    </x:row>
    <x:row r="274">
      <x:c r="A274" s="38" t="str">
        <x:v>CUST-272</x:v>
      </x:c>
      <x:c r="B274" s="38" t="n">
        <x:f>'Raw Data'!A274</x:f>
        <x:v>1</x:v>
      </x:c>
      <x:c r="C274" s="38" t="n">
        <x:f>'Raw Data'!B274</x:f>
        <x:v>1</x:v>
      </x:c>
      <x:c r="D274" s="10" t="n">
        <x:f>'Raw Data'!C274</x:f>
        <x:v>2083</x:v>
      </x:c>
      <x:c r="E274" s="10" t="n">
        <x:f>'Raw Data'!D274</x:f>
        <x:v>5007</x:v>
      </x:c>
      <x:c r="F274" s="10" t="n">
        <x:f>'Raw Data'!E274</x:f>
        <x:v>1563</x:v>
      </x:c>
      <x:c r="G274" s="10" t="n">
        <x:f>'Raw Data'!F274</x:f>
        <x:v>1120</x:v>
      </x:c>
      <x:c r="H274" s="10" t="n">
        <x:f>'Raw Data'!G274</x:f>
        <x:v>147</x:v>
      </x:c>
      <x:c r="I274" s="10" t="n">
        <x:f>'Raw Data'!H274</x:f>
        <x:v>1550</x:v>
      </x:c>
      <x:c r="J274" s="10" t="str">
        <x:f>VLOOKUP(B274,'Lookups &amp; Notes'!$A$4:$B$5,2,FALSE)</x:f>
        <x:v>Horeca</x:v>
      </x:c>
      <x:c r="K274" s="10" t="str">
        <x:f>VLOOKUP(C274,'Lookups &amp; Notes'!$A$8:$B$10,2,FALSE)</x:f>
        <x:v>Lisbon</x:v>
      </x:c>
      <x:c r="L274" s="10" t="n">
        <x:f>SUM(D274:I274)</x:f>
        <x:v>11470</x:v>
      </x:c>
      <x:c r="M274" s="39" t="n">
        <x:f>IFERROR(F274/L274,0)</x:f>
        <x:v>0.13626852659110725</x:v>
      </x:c>
      <x:c r="N274" s="38" t="str">
        <x:f>IF(L274&gt;='Lookups &amp; Notes'!$E$4,"High Value","Standard")</x:f>
        <x:v>Standard</x:v>
      </x:c>
    </x:row>
    <x:row r="275">
      <x:c r="A275" s="38" t="str">
        <x:v>CUST-273</x:v>
      </x:c>
      <x:c r="B275" s="38" t="n">
        <x:f>'Raw Data'!A275</x:f>
        <x:v>1</x:v>
      </x:c>
      <x:c r="C275" s="38" t="n">
        <x:f>'Raw Data'!B275</x:f>
        <x:v>1</x:v>
      </x:c>
      <x:c r="D275" s="10" t="n">
        <x:f>'Raw Data'!C275</x:f>
        <x:v>514</x:v>
      </x:c>
      <x:c r="E275" s="10" t="n">
        <x:f>'Raw Data'!D275</x:f>
        <x:v>8323</x:v>
      </x:c>
      <x:c r="F275" s="10" t="n">
        <x:f>'Raw Data'!E275</x:f>
        <x:v>6869</x:v>
      </x:c>
      <x:c r="G275" s="10" t="n">
        <x:f>'Raw Data'!F275</x:f>
        <x:v>529</x:v>
      </x:c>
      <x:c r="H275" s="10" t="n">
        <x:f>'Raw Data'!G275</x:f>
        <x:v>93</x:v>
      </x:c>
      <x:c r="I275" s="10" t="n">
        <x:f>'Raw Data'!H275</x:f>
        <x:v>1040</x:v>
      </x:c>
      <x:c r="J275" s="10" t="str">
        <x:f>VLOOKUP(B275,'Lookups &amp; Notes'!$A$4:$B$5,2,FALSE)</x:f>
        <x:v>Horeca</x:v>
      </x:c>
      <x:c r="K275" s="10" t="str">
        <x:f>VLOOKUP(C275,'Lookups &amp; Notes'!$A$8:$B$10,2,FALSE)</x:f>
        <x:v>Lisbon</x:v>
      </x:c>
      <x:c r="L275" s="10" t="n">
        <x:f>SUM(D275:I275)</x:f>
        <x:v>17368</x:v>
      </x:c>
      <x:c r="M275" s="39" t="n">
        <x:f>IFERROR(F275/L275,0)</x:f>
        <x:v>0.39549746660525104</x:v>
      </x:c>
      <x:c r="N275" s="38" t="str">
        <x:f>IF(L275&gt;='Lookups &amp; Notes'!$E$4,"High Value","Standard")</x:f>
        <x:v>Standard</x:v>
      </x:c>
    </x:row>
    <x:row r="276">
      <x:c r="A276" s="38" t="str">
        <x:v>CUST-274</x:v>
      </x:c>
      <x:c r="B276" s="38" t="n">
        <x:f>'Raw Data'!A276</x:f>
        <x:v>1</x:v>
      </x:c>
      <x:c r="C276" s="38" t="n">
        <x:f>'Raw Data'!B276</x:f>
        <x:v>3</x:v>
      </x:c>
      <x:c r="D276" s="10" t="n">
        <x:f>'Raw Data'!C276</x:f>
        <x:v>36817</x:v>
      </x:c>
      <x:c r="E276" s="10" t="n">
        <x:f>'Raw Data'!D276</x:f>
        <x:v>3045</x:v>
      </x:c>
      <x:c r="F276" s="10" t="n">
        <x:f>'Raw Data'!E276</x:f>
        <x:v>1493</x:v>
      </x:c>
      <x:c r="G276" s="10" t="n">
        <x:f>'Raw Data'!F276</x:f>
        <x:v>4802</x:v>
      </x:c>
      <x:c r="H276" s="10" t="n">
        <x:f>'Raw Data'!G276</x:f>
        <x:v>210</x:v>
      </x:c>
      <x:c r="I276" s="10" t="n">
        <x:f>'Raw Data'!H276</x:f>
        <x:v>1824</x:v>
      </x:c>
      <x:c r="J276" s="10" t="str">
        <x:f>VLOOKUP(B276,'Lookups &amp; Notes'!$A$4:$B$5,2,FALSE)</x:f>
        <x:v>Horeca</x:v>
      </x:c>
      <x:c r="K276" s="10" t="str">
        <x:f>VLOOKUP(C276,'Lookups &amp; Notes'!$A$8:$B$10,2,FALSE)</x:f>
        <x:v>Other</x:v>
      </x:c>
      <x:c r="L276" s="10" t="n">
        <x:f>SUM(D276:I276)</x:f>
        <x:v>48191</x:v>
      </x:c>
      <x:c r="M276" s="39" t="n">
        <x:f>IFERROR(F276/L276,0)</x:f>
        <x:v>0.030980888547654125</x:v>
      </x:c>
      <x:c r="N276" s="38" t="str">
        <x:f>IF(L276&gt;='Lookups &amp; Notes'!$E$4,"High Value","Standard")</x:f>
        <x:v>High Value</x:v>
      </x:c>
    </x:row>
    <x:row r="277">
      <x:c r="A277" s="38" t="str">
        <x:v>CUST-275</x:v>
      </x:c>
      <x:c r="B277" s="38" t="n">
        <x:f>'Raw Data'!A277</x:f>
        <x:v>1</x:v>
      </x:c>
      <x:c r="C277" s="38" t="n">
        <x:f>'Raw Data'!B277</x:f>
        <x:v>3</x:v>
      </x:c>
      <x:c r="D277" s="10" t="n">
        <x:f>'Raw Data'!C277</x:f>
        <x:v>894</x:v>
      </x:c>
      <x:c r="E277" s="10" t="n">
        <x:f>'Raw Data'!D277</x:f>
        <x:v>1703</x:v>
      </x:c>
      <x:c r="F277" s="10" t="n">
        <x:f>'Raw Data'!E277</x:f>
        <x:v>1841</x:v>
      </x:c>
      <x:c r="G277" s="10" t="n">
        <x:f>'Raw Data'!F277</x:f>
        <x:v>744</x:v>
      </x:c>
      <x:c r="H277" s="10" t="n">
        <x:f>'Raw Data'!G277</x:f>
        <x:v>759</x:v>
      </x:c>
      <x:c r="I277" s="10" t="n">
        <x:f>'Raw Data'!H277</x:f>
        <x:v>1153</x:v>
      </x:c>
      <x:c r="J277" s="10" t="str">
        <x:f>VLOOKUP(B277,'Lookups &amp; Notes'!$A$4:$B$5,2,FALSE)</x:f>
        <x:v>Horeca</x:v>
      </x:c>
      <x:c r="K277" s="10" t="str">
        <x:f>VLOOKUP(C277,'Lookups &amp; Notes'!$A$8:$B$10,2,FALSE)</x:f>
        <x:v>Other</x:v>
      </x:c>
      <x:c r="L277" s="10" t="n">
        <x:f>SUM(D277:I277)</x:f>
        <x:v>7094</x:v>
      </x:c>
      <x:c r="M277" s="39" t="n">
        <x:f>IFERROR(F277/L277,0)</x:f>
        <x:v>0.2595150831688751</x:v>
      </x:c>
      <x:c r="N277" s="38" t="str">
        <x:f>IF(L277&gt;='Lookups &amp; Notes'!$E$4,"High Value","Standard")</x:f>
        <x:v>Standard</x:v>
      </x:c>
    </x:row>
    <x:row r="278">
      <x:c r="A278" s="38" t="str">
        <x:v>CUST-276</x:v>
      </x:c>
      <x:c r="B278" s="38" t="n">
        <x:f>'Raw Data'!A278</x:f>
        <x:v>1</x:v>
      </x:c>
      <x:c r="C278" s="38" t="n">
        <x:f>'Raw Data'!B278</x:f>
        <x:v>3</x:v>
      </x:c>
      <x:c r="D278" s="10" t="n">
        <x:f>'Raw Data'!C278</x:f>
        <x:v>680</x:v>
      </x:c>
      <x:c r="E278" s="10" t="n">
        <x:f>'Raw Data'!D278</x:f>
        <x:v>1610</x:v>
      </x:c>
      <x:c r="F278" s="10" t="n">
        <x:f>'Raw Data'!E278</x:f>
        <x:v>223</x:v>
      </x:c>
      <x:c r="G278" s="10" t="n">
        <x:f>'Raw Data'!F278</x:f>
        <x:v>862</x:v>
      </x:c>
      <x:c r="H278" s="10" t="n">
        <x:f>'Raw Data'!G278</x:f>
        <x:v>96</x:v>
      </x:c>
      <x:c r="I278" s="10" t="n">
        <x:f>'Raw Data'!H278</x:f>
        <x:v>379</x:v>
      </x:c>
      <x:c r="J278" s="10" t="str">
        <x:f>VLOOKUP(B278,'Lookups &amp; Notes'!$A$4:$B$5,2,FALSE)</x:f>
        <x:v>Horeca</x:v>
      </x:c>
      <x:c r="K278" s="10" t="str">
        <x:f>VLOOKUP(C278,'Lookups &amp; Notes'!$A$8:$B$10,2,FALSE)</x:f>
        <x:v>Other</x:v>
      </x:c>
      <x:c r="L278" s="10" t="n">
        <x:f>SUM(D278:I278)</x:f>
        <x:v>3850</x:v>
      </x:c>
      <x:c r="M278" s="39" t="n">
        <x:f>IFERROR(F278/L278,0)</x:f>
        <x:v>0.05792207792207792</x:v>
      </x:c>
      <x:c r="N278" s="38" t="str">
        <x:f>IF(L278&gt;='Lookups &amp; Notes'!$E$4,"High Value","Standard")</x:f>
        <x:v>Standard</x:v>
      </x:c>
    </x:row>
    <x:row r="279">
      <x:c r="A279" s="38" t="str">
        <x:v>CUST-277</x:v>
      </x:c>
      <x:c r="B279" s="38" t="n">
        <x:f>'Raw Data'!A279</x:f>
        <x:v>1</x:v>
      </x:c>
      <x:c r="C279" s="38" t="n">
        <x:f>'Raw Data'!B279</x:f>
        <x:v>3</x:v>
      </x:c>
      <x:c r="D279" s="10" t="n">
        <x:f>'Raw Data'!C279</x:f>
        <x:v>27901</x:v>
      </x:c>
      <x:c r="E279" s="10" t="n">
        <x:f>'Raw Data'!D279</x:f>
        <x:v>3749</x:v>
      </x:c>
      <x:c r="F279" s="10" t="n">
        <x:f>'Raw Data'!E279</x:f>
        <x:v>6964</x:v>
      </x:c>
      <x:c r="G279" s="10" t="n">
        <x:f>'Raw Data'!F279</x:f>
        <x:v>4479</x:v>
      </x:c>
      <x:c r="H279" s="10" t="n">
        <x:f>'Raw Data'!G279</x:f>
        <x:v>603</x:v>
      </x:c>
      <x:c r="I279" s="10" t="n">
        <x:f>'Raw Data'!H279</x:f>
        <x:v>2503</x:v>
      </x:c>
      <x:c r="J279" s="10" t="str">
        <x:f>VLOOKUP(B279,'Lookups &amp; Notes'!$A$4:$B$5,2,FALSE)</x:f>
        <x:v>Horeca</x:v>
      </x:c>
      <x:c r="K279" s="10" t="str">
        <x:f>VLOOKUP(C279,'Lookups &amp; Notes'!$A$8:$B$10,2,FALSE)</x:f>
        <x:v>Other</x:v>
      </x:c>
      <x:c r="L279" s="10" t="n">
        <x:f>SUM(D279:I279)</x:f>
        <x:v>46199</x:v>
      </x:c>
      <x:c r="M279" s="39" t="n">
        <x:f>IFERROR(F279/L279,0)</x:f>
        <x:v>0.15073919348903655</x:v>
      </x:c>
      <x:c r="N279" s="38" t="str">
        <x:f>IF(L279&gt;='Lookups &amp; Notes'!$E$4,"High Value","Standard")</x:f>
        <x:v>High Value</x:v>
      </x:c>
    </x:row>
    <x:row r="280">
      <x:c r="A280" s="38" t="str">
        <x:v>CUST-278</x:v>
      </x:c>
      <x:c r="B280" s="38" t="n">
        <x:f>'Raw Data'!A280</x:f>
        <x:v>1</x:v>
      </x:c>
      <x:c r="C280" s="38" t="n">
        <x:f>'Raw Data'!B280</x:f>
        <x:v>3</x:v>
      </x:c>
      <x:c r="D280" s="10" t="n">
        <x:f>'Raw Data'!C280</x:f>
        <x:v>9061</x:v>
      </x:c>
      <x:c r="E280" s="10" t="n">
        <x:f>'Raw Data'!D280</x:f>
        <x:v>829</x:v>
      </x:c>
      <x:c r="F280" s="10" t="n">
        <x:f>'Raw Data'!E280</x:f>
        <x:v>683</x:v>
      </x:c>
      <x:c r="G280" s="10" t="n">
        <x:f>'Raw Data'!F280</x:f>
        <x:v>16919</x:v>
      </x:c>
      <x:c r="H280" s="10" t="n">
        <x:f>'Raw Data'!G280</x:f>
        <x:v>621</x:v>
      </x:c>
      <x:c r="I280" s="10" t="n">
        <x:f>'Raw Data'!H280</x:f>
        <x:v>139</x:v>
      </x:c>
      <x:c r="J280" s="10" t="str">
        <x:f>VLOOKUP(B280,'Lookups &amp; Notes'!$A$4:$B$5,2,FALSE)</x:f>
        <x:v>Horeca</x:v>
      </x:c>
      <x:c r="K280" s="10" t="str">
        <x:f>VLOOKUP(C280,'Lookups &amp; Notes'!$A$8:$B$10,2,FALSE)</x:f>
        <x:v>Other</x:v>
      </x:c>
      <x:c r="L280" s="10" t="n">
        <x:f>SUM(D280:I280)</x:f>
        <x:v>28252</x:v>
      </x:c>
      <x:c r="M280" s="39" t="n">
        <x:f>IFERROR(F280/L280,0)</x:f>
        <x:v>0.024175279626221152</x:v>
      </x:c>
      <x:c r="N280" s="38" t="str">
        <x:f>IF(L280&gt;='Lookups &amp; Notes'!$E$4,"High Value","Standard")</x:f>
        <x:v>High Value</x:v>
      </x:c>
    </x:row>
    <x:row r="281">
      <x:c r="A281" s="38" t="str">
        <x:v>CUST-279</x:v>
      </x:c>
      <x:c r="B281" s="38" t="n">
        <x:f>'Raw Data'!A281</x:f>
        <x:v>1</x:v>
      </x:c>
      <x:c r="C281" s="38" t="n">
        <x:f>'Raw Data'!B281</x:f>
        <x:v>3</x:v>
      </x:c>
      <x:c r="D281" s="10" t="n">
        <x:f>'Raw Data'!C281</x:f>
        <x:v>11693</x:v>
      </x:c>
      <x:c r="E281" s="10" t="n">
        <x:f>'Raw Data'!D281</x:f>
        <x:v>2317</x:v>
      </x:c>
      <x:c r="F281" s="10" t="n">
        <x:f>'Raw Data'!E281</x:f>
        <x:v>2543</x:v>
      </x:c>
      <x:c r="G281" s="10" t="n">
        <x:f>'Raw Data'!F281</x:f>
        <x:v>5845</x:v>
      </x:c>
      <x:c r="H281" s="10" t="n">
        <x:f>'Raw Data'!G281</x:f>
        <x:v>274</x:v>
      </x:c>
      <x:c r="I281" s="10" t="n">
        <x:f>'Raw Data'!H281</x:f>
        <x:v>1409</x:v>
      </x:c>
      <x:c r="J281" s="10" t="str">
        <x:f>VLOOKUP(B281,'Lookups &amp; Notes'!$A$4:$B$5,2,FALSE)</x:f>
        <x:v>Horeca</x:v>
      </x:c>
      <x:c r="K281" s="10" t="str">
        <x:f>VLOOKUP(C281,'Lookups &amp; Notes'!$A$8:$B$10,2,FALSE)</x:f>
        <x:v>Other</x:v>
      </x:c>
      <x:c r="L281" s="10" t="n">
        <x:f>SUM(D281:I281)</x:f>
        <x:v>24081</x:v>
      </x:c>
      <x:c r="M281" s="39" t="n">
        <x:f>IFERROR(F281/L281,0)</x:f>
        <x:v>0.10560192683028113</x:v>
      </x:c>
      <x:c r="N281" s="38" t="str">
        <x:f>IF(L281&gt;='Lookups &amp; Notes'!$E$4,"High Value","Standard")</x:f>
        <x:v>Standard</x:v>
      </x:c>
    </x:row>
    <x:row r="282">
      <x:c r="A282" s="38" t="str">
        <x:v>CUST-280</x:v>
      </x:c>
      <x:c r="B282" s="38" t="n">
        <x:f>'Raw Data'!A282</x:f>
        <x:v>2</x:v>
      </x:c>
      <x:c r="C282" s="38" t="n">
        <x:f>'Raw Data'!B282</x:f>
        <x:v>3</x:v>
      </x:c>
      <x:c r="D282" s="10" t="n">
        <x:f>'Raw Data'!C282</x:f>
        <x:v>17360</x:v>
      </x:c>
      <x:c r="E282" s="10" t="n">
        <x:f>'Raw Data'!D282</x:f>
        <x:v>6200</x:v>
      </x:c>
      <x:c r="F282" s="10" t="n">
        <x:f>'Raw Data'!E282</x:f>
        <x:v>9694</x:v>
      </x:c>
      <x:c r="G282" s="10" t="n">
        <x:f>'Raw Data'!F282</x:f>
        <x:v>1293</x:v>
      </x:c>
      <x:c r="H282" s="10" t="n">
        <x:f>'Raw Data'!G282</x:f>
        <x:v>3620</x:v>
      </x:c>
      <x:c r="I282" s="10" t="n">
        <x:f>'Raw Data'!H282</x:f>
        <x:v>1721</x:v>
      </x:c>
      <x:c r="J282" s="10" t="str">
        <x:f>VLOOKUP(B282,'Lookups &amp; Notes'!$A$4:$B$5,2,FALSE)</x:f>
        <x:v>Retail</x:v>
      </x:c>
      <x:c r="K282" s="10" t="str">
        <x:f>VLOOKUP(C282,'Lookups &amp; Notes'!$A$8:$B$10,2,FALSE)</x:f>
        <x:v>Other</x:v>
      </x:c>
      <x:c r="L282" s="10" t="n">
        <x:f>SUM(D282:I282)</x:f>
        <x:v>39888</x:v>
      </x:c>
      <x:c r="M282" s="39" t="n">
        <x:f>IFERROR(F282/L282,0)</x:f>
        <x:v>0.2430304853590052</x:v>
      </x:c>
      <x:c r="N282" s="38" t="str">
        <x:f>IF(L282&gt;='Lookups &amp; Notes'!$E$4,"High Value","Standard")</x:f>
        <x:v>High Value</x:v>
      </x:c>
    </x:row>
    <x:row r="283">
      <x:c r="A283" s="38" t="str">
        <x:v>CUST-281</x:v>
      </x:c>
      <x:c r="B283" s="38" t="n">
        <x:f>'Raw Data'!A283</x:f>
        <x:v>1</x:v>
      </x:c>
      <x:c r="C283" s="38" t="n">
        <x:f>'Raw Data'!B283</x:f>
        <x:v>3</x:v>
      </x:c>
      <x:c r="D283" s="10" t="n">
        <x:f>'Raw Data'!C283</x:f>
        <x:v>3366</x:v>
      </x:c>
      <x:c r="E283" s="10" t="n">
        <x:f>'Raw Data'!D283</x:f>
        <x:v>2884</x:v>
      </x:c>
      <x:c r="F283" s="10" t="n">
        <x:f>'Raw Data'!E283</x:f>
        <x:v>2431</x:v>
      </x:c>
      <x:c r="G283" s="10" t="n">
        <x:f>'Raw Data'!F283</x:f>
        <x:v>977</x:v>
      </x:c>
      <x:c r="H283" s="10" t="n">
        <x:f>'Raw Data'!G283</x:f>
        <x:v>167</x:v>
      </x:c>
      <x:c r="I283" s="10" t="n">
        <x:f>'Raw Data'!H283</x:f>
        <x:v>1104</x:v>
      </x:c>
      <x:c r="J283" s="10" t="str">
        <x:f>VLOOKUP(B283,'Lookups &amp; Notes'!$A$4:$B$5,2,FALSE)</x:f>
        <x:v>Horeca</x:v>
      </x:c>
      <x:c r="K283" s="10" t="str">
        <x:f>VLOOKUP(C283,'Lookups &amp; Notes'!$A$8:$B$10,2,FALSE)</x:f>
        <x:v>Other</x:v>
      </x:c>
      <x:c r="L283" s="10" t="n">
        <x:f>SUM(D283:I283)</x:f>
        <x:v>10929</x:v>
      </x:c>
      <x:c r="M283" s="39" t="n">
        <x:f>IFERROR(F283/L283,0)</x:f>
        <x:v>0.22243572147497484</x:v>
      </x:c>
      <x:c r="N283" s="38" t="str">
        <x:f>IF(L283&gt;='Lookups &amp; Notes'!$E$4,"High Value","Standard")</x:f>
        <x:v>Standard</x:v>
      </x:c>
    </x:row>
    <x:row r="284">
      <x:c r="A284" s="38" t="str">
        <x:v>CUST-282</x:v>
      </x:c>
      <x:c r="B284" s="38" t="n">
        <x:f>'Raw Data'!A284</x:f>
        <x:v>2</x:v>
      </x:c>
      <x:c r="C284" s="38" t="n">
        <x:f>'Raw Data'!B284</x:f>
        <x:v>3</x:v>
      </x:c>
      <x:c r="D284" s="10" t="n">
        <x:f>'Raw Data'!C284</x:f>
        <x:v>12238</x:v>
      </x:c>
      <x:c r="E284" s="10" t="n">
        <x:f>'Raw Data'!D284</x:f>
        <x:v>7108</x:v>
      </x:c>
      <x:c r="F284" s="10" t="n">
        <x:f>'Raw Data'!E284</x:f>
        <x:v>6235</x:v>
      </x:c>
      <x:c r="G284" s="10" t="n">
        <x:f>'Raw Data'!F284</x:f>
        <x:v>1093</x:v>
      </x:c>
      <x:c r="H284" s="10" t="n">
        <x:f>'Raw Data'!G284</x:f>
        <x:v>2328</x:v>
      </x:c>
      <x:c r="I284" s="10" t="n">
        <x:f>'Raw Data'!H284</x:f>
        <x:v>2079</x:v>
      </x:c>
      <x:c r="J284" s="10" t="str">
        <x:f>VLOOKUP(B284,'Lookups &amp; Notes'!$A$4:$B$5,2,FALSE)</x:f>
        <x:v>Retail</x:v>
      </x:c>
      <x:c r="K284" s="10" t="str">
        <x:f>VLOOKUP(C284,'Lookups &amp; Notes'!$A$8:$B$10,2,FALSE)</x:f>
        <x:v>Other</x:v>
      </x:c>
      <x:c r="L284" s="10" t="n">
        <x:f>SUM(D284:I284)</x:f>
        <x:v>31081</x:v>
      </x:c>
      <x:c r="M284" s="39" t="n">
        <x:f>IFERROR(F284/L284,0)</x:f>
        <x:v>0.2006048711431421</x:v>
      </x:c>
      <x:c r="N284" s="38" t="str">
        <x:f>IF(L284&gt;='Lookups &amp; Notes'!$E$4,"High Value","Standard")</x:f>
        <x:v>High Value</x:v>
      </x:c>
    </x:row>
    <x:row r="285">
      <x:c r="A285" s="38" t="str">
        <x:v>CUST-283</x:v>
      </x:c>
      <x:c r="B285" s="38" t="n">
        <x:f>'Raw Data'!A285</x:f>
        <x:v>1</x:v>
      </x:c>
      <x:c r="C285" s="38" t="n">
        <x:f>'Raw Data'!B285</x:f>
        <x:v>3</x:v>
      </x:c>
      <x:c r="D285" s="10" t="n">
        <x:f>'Raw Data'!C285</x:f>
        <x:v>49063</x:v>
      </x:c>
      <x:c r="E285" s="10" t="n">
        <x:f>'Raw Data'!D285</x:f>
        <x:v>3965</x:v>
      </x:c>
      <x:c r="F285" s="10" t="n">
        <x:f>'Raw Data'!E285</x:f>
        <x:v>4252</x:v>
      </x:c>
      <x:c r="G285" s="10" t="n">
        <x:f>'Raw Data'!F285</x:f>
        <x:v>5970</x:v>
      </x:c>
      <x:c r="H285" s="10" t="n">
        <x:f>'Raw Data'!G285</x:f>
        <x:v>1041</x:v>
      </x:c>
      <x:c r="I285" s="10" t="n">
        <x:f>'Raw Data'!H285</x:f>
        <x:v>1404</x:v>
      </x:c>
      <x:c r="J285" s="10" t="str">
        <x:f>VLOOKUP(B285,'Lookups &amp; Notes'!$A$4:$B$5,2,FALSE)</x:f>
        <x:v>Horeca</x:v>
      </x:c>
      <x:c r="K285" s="10" t="str">
        <x:f>VLOOKUP(C285,'Lookups &amp; Notes'!$A$8:$B$10,2,FALSE)</x:f>
        <x:v>Other</x:v>
      </x:c>
      <x:c r="L285" s="10" t="n">
        <x:f>SUM(D285:I285)</x:f>
        <x:v>65695</x:v>
      </x:c>
      <x:c r="M285" s="39" t="n">
        <x:f>IFERROR(F285/L285,0)</x:f>
        <x:v>0.06472334272014613</x:v>
      </x:c>
      <x:c r="N285" s="38" t="str">
        <x:f>IF(L285&gt;='Lookups &amp; Notes'!$E$4,"High Value","Standard")</x:f>
        <x:v>High Value</x:v>
      </x:c>
    </x:row>
    <x:row r="286">
      <x:c r="A286" s="38" t="str">
        <x:v>CUST-284</x:v>
      </x:c>
      <x:c r="B286" s="38" t="n">
        <x:f>'Raw Data'!A286</x:f>
        <x:v>1</x:v>
      </x:c>
      <x:c r="C286" s="38" t="n">
        <x:f>'Raw Data'!B286</x:f>
        <x:v>3</x:v>
      </x:c>
      <x:c r="D286" s="10" t="n">
        <x:f>'Raw Data'!C286</x:f>
        <x:v>25767</x:v>
      </x:c>
      <x:c r="E286" s="10" t="n">
        <x:f>'Raw Data'!D286</x:f>
        <x:v>3613</x:v>
      </x:c>
      <x:c r="F286" s="10" t="n">
        <x:f>'Raw Data'!E286</x:f>
        <x:v>2013</x:v>
      </x:c>
      <x:c r="G286" s="10" t="n">
        <x:f>'Raw Data'!F286</x:f>
        <x:v>10303</x:v>
      </x:c>
      <x:c r="H286" s="10" t="n">
        <x:f>'Raw Data'!G286</x:f>
        <x:v>314</x:v>
      </x:c>
      <x:c r="I286" s="10" t="n">
        <x:f>'Raw Data'!H286</x:f>
        <x:v>1384</x:v>
      </x:c>
      <x:c r="J286" s="10" t="str">
        <x:f>VLOOKUP(B286,'Lookups &amp; Notes'!$A$4:$B$5,2,FALSE)</x:f>
        <x:v>Horeca</x:v>
      </x:c>
      <x:c r="K286" s="10" t="str">
        <x:f>VLOOKUP(C286,'Lookups &amp; Notes'!$A$8:$B$10,2,FALSE)</x:f>
        <x:v>Other</x:v>
      </x:c>
      <x:c r="L286" s="10" t="n">
        <x:f>SUM(D286:I286)</x:f>
        <x:v>43394</x:v>
      </x:c>
      <x:c r="M286" s="39" t="n">
        <x:f>IFERROR(F286/L286,0)</x:f>
        <x:v>0.046388901691478086</x:v>
      </x:c>
      <x:c r="N286" s="38" t="str">
        <x:f>IF(L286&gt;='Lookups &amp; Notes'!$E$4,"High Value","Standard")</x:f>
        <x:v>High Value</x:v>
      </x:c>
    </x:row>
    <x:row r="287">
      <x:c r="A287" s="38" t="str">
        <x:v>CUST-285</x:v>
      </x:c>
      <x:c r="B287" s="38" t="n">
        <x:f>'Raw Data'!A287</x:f>
        <x:v>1</x:v>
      </x:c>
      <x:c r="C287" s="38" t="n">
        <x:f>'Raw Data'!B287</x:f>
        <x:v>3</x:v>
      </x:c>
      <x:c r="D287" s="10" t="n">
        <x:f>'Raw Data'!C287</x:f>
        <x:v>68951</x:v>
      </x:c>
      <x:c r="E287" s="10" t="n">
        <x:f>'Raw Data'!D287</x:f>
        <x:v>4411</x:v>
      </x:c>
      <x:c r="F287" s="10" t="n">
        <x:f>'Raw Data'!E287</x:f>
        <x:v>12609</x:v>
      </x:c>
      <x:c r="G287" s="10" t="n">
        <x:f>'Raw Data'!F287</x:f>
        <x:v>8692</x:v>
      </x:c>
      <x:c r="H287" s="10" t="n">
        <x:f>'Raw Data'!G287</x:f>
        <x:v>751</x:v>
      </x:c>
      <x:c r="I287" s="10" t="n">
        <x:f>'Raw Data'!H287</x:f>
        <x:v>2406</x:v>
      </x:c>
      <x:c r="J287" s="10" t="str">
        <x:f>VLOOKUP(B287,'Lookups &amp; Notes'!$A$4:$B$5,2,FALSE)</x:f>
        <x:v>Horeca</x:v>
      </x:c>
      <x:c r="K287" s="10" t="str">
        <x:f>VLOOKUP(C287,'Lookups &amp; Notes'!$A$8:$B$10,2,FALSE)</x:f>
        <x:v>Other</x:v>
      </x:c>
      <x:c r="L287" s="10" t="n">
        <x:f>SUM(D287:I287)</x:f>
        <x:v>97820</x:v>
      </x:c>
      <x:c r="M287" s="39" t="n">
        <x:f>IFERROR(F287/L287,0)</x:f>
        <x:v>0.12890002044571663</x:v>
      </x:c>
      <x:c r="N287" s="38" t="str">
        <x:f>IF(L287&gt;='Lookups &amp; Notes'!$E$4,"High Value","Standard")</x:f>
        <x:v>High Value</x:v>
      </x:c>
    </x:row>
    <x:row r="288">
      <x:c r="A288" s="38" t="str">
        <x:v>CUST-286</x:v>
      </x:c>
      <x:c r="B288" s="38" t="n">
        <x:f>'Raw Data'!A288</x:f>
        <x:v>1</x:v>
      </x:c>
      <x:c r="C288" s="38" t="n">
        <x:f>'Raw Data'!B288</x:f>
        <x:v>3</x:v>
      </x:c>
      <x:c r="D288" s="10" t="n">
        <x:f>'Raw Data'!C288</x:f>
        <x:v>40254</x:v>
      </x:c>
      <x:c r="E288" s="10" t="n">
        <x:f>'Raw Data'!D288</x:f>
        <x:v>640</x:v>
      </x:c>
      <x:c r="F288" s="10" t="n">
        <x:f>'Raw Data'!E288</x:f>
        <x:v>3600</x:v>
      </x:c>
      <x:c r="G288" s="10" t="n">
        <x:f>'Raw Data'!F288</x:f>
        <x:v>1042</x:v>
      </x:c>
      <x:c r="H288" s="10" t="n">
        <x:f>'Raw Data'!G288</x:f>
        <x:v>436</x:v>
      </x:c>
      <x:c r="I288" s="10" t="n">
        <x:f>'Raw Data'!H288</x:f>
        <x:v>18</x:v>
      </x:c>
      <x:c r="J288" s="10" t="str">
        <x:f>VLOOKUP(B288,'Lookups &amp; Notes'!$A$4:$B$5,2,FALSE)</x:f>
        <x:v>Horeca</x:v>
      </x:c>
      <x:c r="K288" s="10" t="str">
        <x:f>VLOOKUP(C288,'Lookups &amp; Notes'!$A$8:$B$10,2,FALSE)</x:f>
        <x:v>Other</x:v>
      </x:c>
      <x:c r="L288" s="10" t="n">
        <x:f>SUM(D288:I288)</x:f>
        <x:v>45990</x:v>
      </x:c>
      <x:c r="M288" s="39" t="n">
        <x:f>IFERROR(F288/L288,0)</x:f>
        <x:v>0.07827788649706457</x:v>
      </x:c>
      <x:c r="N288" s="38" t="str">
        <x:f>IF(L288&gt;='Lookups &amp; Notes'!$E$4,"High Value","Standard")</x:f>
        <x:v>High Value</x:v>
      </x:c>
    </x:row>
    <x:row r="289">
      <x:c r="A289" s="38" t="str">
        <x:v>CUST-287</x:v>
      </x:c>
      <x:c r="B289" s="38" t="n">
        <x:f>'Raw Data'!A289</x:f>
        <x:v>1</x:v>
      </x:c>
      <x:c r="C289" s="38" t="n">
        <x:f>'Raw Data'!B289</x:f>
        <x:v>3</x:v>
      </x:c>
      <x:c r="D289" s="10" t="n">
        <x:f>'Raw Data'!C289</x:f>
        <x:v>7149</x:v>
      </x:c>
      <x:c r="E289" s="10" t="n">
        <x:f>'Raw Data'!D289</x:f>
        <x:v>2247</x:v>
      </x:c>
      <x:c r="F289" s="10" t="n">
        <x:f>'Raw Data'!E289</x:f>
        <x:v>1242</x:v>
      </x:c>
      <x:c r="G289" s="10" t="n">
        <x:f>'Raw Data'!F289</x:f>
        <x:v>1619</x:v>
      </x:c>
      <x:c r="H289" s="10" t="n">
        <x:f>'Raw Data'!G289</x:f>
        <x:v>1226</x:v>
      </x:c>
      <x:c r="I289" s="10" t="n">
        <x:f>'Raw Data'!H289</x:f>
        <x:v>128</x:v>
      </x:c>
      <x:c r="J289" s="10" t="str">
        <x:f>VLOOKUP(B289,'Lookups &amp; Notes'!$A$4:$B$5,2,FALSE)</x:f>
        <x:v>Horeca</x:v>
      </x:c>
      <x:c r="K289" s="10" t="str">
        <x:f>VLOOKUP(C289,'Lookups &amp; Notes'!$A$8:$B$10,2,FALSE)</x:f>
        <x:v>Other</x:v>
      </x:c>
      <x:c r="L289" s="10" t="n">
        <x:f>SUM(D289:I289)</x:f>
        <x:v>13611</x:v>
      </x:c>
      <x:c r="M289" s="39" t="n">
        <x:f>IFERROR(F289/L289,0)</x:f>
        <x:v>0.09124972448754684</x:v>
      </x:c>
      <x:c r="N289" s="38" t="str">
        <x:f>IF(L289&gt;='Lookups &amp; Notes'!$E$4,"High Value","Standard")</x:f>
        <x:v>Standard</x:v>
      </x:c>
    </x:row>
    <x:row r="290">
      <x:c r="A290" s="38" t="str">
        <x:v>CUST-288</x:v>
      </x:c>
      <x:c r="B290" s="38" t="n">
        <x:f>'Raw Data'!A290</x:f>
        <x:v>1</x:v>
      </x:c>
      <x:c r="C290" s="38" t="n">
        <x:f>'Raw Data'!B290</x:f>
        <x:v>3</x:v>
      </x:c>
      <x:c r="D290" s="10" t="n">
        <x:f>'Raw Data'!C290</x:f>
        <x:v>15354</x:v>
      </x:c>
      <x:c r="E290" s="10" t="n">
        <x:f>'Raw Data'!D290</x:f>
        <x:v>2102</x:v>
      </x:c>
      <x:c r="F290" s="10" t="n">
        <x:f>'Raw Data'!E290</x:f>
        <x:v>2828</x:v>
      </x:c>
      <x:c r="G290" s="10" t="n">
        <x:f>'Raw Data'!F290</x:f>
        <x:v>8366</x:v>
      </x:c>
      <x:c r="H290" s="10" t="n">
        <x:f>'Raw Data'!G290</x:f>
        <x:v>386</x:v>
      </x:c>
      <x:c r="I290" s="10" t="n">
        <x:f>'Raw Data'!H290</x:f>
        <x:v>1027</x:v>
      </x:c>
      <x:c r="J290" s="10" t="str">
        <x:f>VLOOKUP(B290,'Lookups &amp; Notes'!$A$4:$B$5,2,FALSE)</x:f>
        <x:v>Horeca</x:v>
      </x:c>
      <x:c r="K290" s="10" t="str">
        <x:f>VLOOKUP(C290,'Lookups &amp; Notes'!$A$8:$B$10,2,FALSE)</x:f>
        <x:v>Other</x:v>
      </x:c>
      <x:c r="L290" s="10" t="n">
        <x:f>SUM(D290:I290)</x:f>
        <x:v>30063</x:v>
      </x:c>
      <x:c r="M290" s="39" t="n">
        <x:f>IFERROR(F290/L290,0)</x:f>
        <x:v>0.09406912151149253</x:v>
      </x:c>
      <x:c r="N290" s="38" t="str">
        <x:f>IF(L290&gt;='Lookups &amp; Notes'!$E$4,"High Value","Standard")</x:f>
        <x:v>High Value</x:v>
      </x:c>
    </x:row>
    <x:row r="291">
      <x:c r="A291" s="38" t="str">
        <x:v>CUST-289</x:v>
      </x:c>
      <x:c r="B291" s="38" t="n">
        <x:f>'Raw Data'!A291</x:f>
        <x:v>1</x:v>
      </x:c>
      <x:c r="C291" s="38" t="n">
        <x:f>'Raw Data'!B291</x:f>
        <x:v>3</x:v>
      </x:c>
      <x:c r="D291" s="10" t="n">
        <x:f>'Raw Data'!C291</x:f>
        <x:v>16260</x:v>
      </x:c>
      <x:c r="E291" s="10" t="n">
        <x:f>'Raw Data'!D291</x:f>
        <x:v>594</x:v>
      </x:c>
      <x:c r="F291" s="10" t="n">
        <x:f>'Raw Data'!E291</x:f>
        <x:v>1296</x:v>
      </x:c>
      <x:c r="G291" s="10" t="n">
        <x:f>'Raw Data'!F291</x:f>
        <x:v>848</x:v>
      </x:c>
      <x:c r="H291" s="10" t="n">
        <x:f>'Raw Data'!G291</x:f>
        <x:v>445</x:v>
      </x:c>
      <x:c r="I291" s="10" t="n">
        <x:f>'Raw Data'!H291</x:f>
        <x:v>258</x:v>
      </x:c>
      <x:c r="J291" s="10" t="str">
        <x:f>VLOOKUP(B291,'Lookups &amp; Notes'!$A$4:$B$5,2,FALSE)</x:f>
        <x:v>Horeca</x:v>
      </x:c>
      <x:c r="K291" s="10" t="str">
        <x:f>VLOOKUP(C291,'Lookups &amp; Notes'!$A$8:$B$10,2,FALSE)</x:f>
        <x:v>Other</x:v>
      </x:c>
      <x:c r="L291" s="10" t="n">
        <x:f>SUM(D291:I291)</x:f>
        <x:v>19701</x:v>
      </x:c>
      <x:c r="M291" s="39" t="n">
        <x:f>IFERROR(F291/L291,0)</x:f>
        <x:v>0.0657834627683874</x:v>
      </x:c>
      <x:c r="N291" s="38" t="str">
        <x:f>IF(L291&gt;='Lookups &amp; Notes'!$E$4,"High Value","Standard")</x:f>
        <x:v>Standard</x:v>
      </x:c>
    </x:row>
    <x:row r="292">
      <x:c r="A292" s="38" t="str">
        <x:v>CUST-290</x:v>
      </x:c>
      <x:c r="B292" s="38" t="n">
        <x:f>'Raw Data'!A292</x:f>
        <x:v>1</x:v>
      </x:c>
      <x:c r="C292" s="38" t="n">
        <x:f>'Raw Data'!B292</x:f>
        <x:v>3</x:v>
      </x:c>
      <x:c r="D292" s="10" t="n">
        <x:f>'Raw Data'!C292</x:f>
        <x:v>42786</x:v>
      </x:c>
      <x:c r="E292" s="10" t="n">
        <x:f>'Raw Data'!D292</x:f>
        <x:v>286</x:v>
      </x:c>
      <x:c r="F292" s="10" t="n">
        <x:f>'Raw Data'!E292</x:f>
        <x:v>471</x:v>
      </x:c>
      <x:c r="G292" s="10" t="n">
        <x:f>'Raw Data'!F292</x:f>
        <x:v>1388</x:v>
      </x:c>
      <x:c r="H292" s="10" t="n">
        <x:f>'Raw Data'!G292</x:f>
        <x:v>32</x:v>
      </x:c>
      <x:c r="I292" s="10" t="n">
        <x:f>'Raw Data'!H292</x:f>
        <x:v>22</x:v>
      </x:c>
      <x:c r="J292" s="10" t="str">
        <x:f>VLOOKUP(B292,'Lookups &amp; Notes'!$A$4:$B$5,2,FALSE)</x:f>
        <x:v>Horeca</x:v>
      </x:c>
      <x:c r="K292" s="10" t="str">
        <x:f>VLOOKUP(C292,'Lookups &amp; Notes'!$A$8:$B$10,2,FALSE)</x:f>
        <x:v>Other</x:v>
      </x:c>
      <x:c r="L292" s="10" t="n">
        <x:f>SUM(D292:I292)</x:f>
        <x:v>44985</x:v>
      </x:c>
      <x:c r="M292" s="39" t="n">
        <x:f>IFERROR(F292/L292,0)</x:f>
        <x:v>0.010470156718906302</x:v>
      </x:c>
      <x:c r="N292" s="38" t="str">
        <x:f>IF(L292&gt;='Lookups &amp; Notes'!$E$4,"High Value","Standard")</x:f>
        <x:v>High Value</x:v>
      </x:c>
    </x:row>
    <x:row r="293">
      <x:c r="A293" s="38" t="str">
        <x:v>CUST-291</x:v>
      </x:c>
      <x:c r="B293" s="38" t="n">
        <x:f>'Raw Data'!A293</x:f>
        <x:v>1</x:v>
      </x:c>
      <x:c r="C293" s="38" t="n">
        <x:f>'Raw Data'!B293</x:f>
        <x:v>3</x:v>
      </x:c>
      <x:c r="D293" s="10" t="n">
        <x:f>'Raw Data'!C293</x:f>
        <x:v>2708</x:v>
      </x:c>
      <x:c r="E293" s="10" t="n">
        <x:f>'Raw Data'!D293</x:f>
        <x:v>2160</x:v>
      </x:c>
      <x:c r="F293" s="10" t="n">
        <x:f>'Raw Data'!E293</x:f>
        <x:v>2642</x:v>
      </x:c>
      <x:c r="G293" s="10" t="n">
        <x:f>'Raw Data'!F293</x:f>
        <x:v>502</x:v>
      </x:c>
      <x:c r="H293" s="10" t="n">
        <x:f>'Raw Data'!G293</x:f>
        <x:v>965</x:v>
      </x:c>
      <x:c r="I293" s="10" t="n">
        <x:f>'Raw Data'!H293</x:f>
        <x:v>1522</x:v>
      </x:c>
      <x:c r="J293" s="10" t="str">
        <x:f>VLOOKUP(B293,'Lookups &amp; Notes'!$A$4:$B$5,2,FALSE)</x:f>
        <x:v>Horeca</x:v>
      </x:c>
      <x:c r="K293" s="10" t="str">
        <x:f>VLOOKUP(C293,'Lookups &amp; Notes'!$A$8:$B$10,2,FALSE)</x:f>
        <x:v>Other</x:v>
      </x:c>
      <x:c r="L293" s="10" t="n">
        <x:f>SUM(D293:I293)</x:f>
        <x:v>10499</x:v>
      </x:c>
      <x:c r="M293" s="39" t="n">
        <x:f>IFERROR(F293/L293,0)</x:f>
        <x:v>0.2516430136203448</x:v>
      </x:c>
      <x:c r="N293" s="38" t="str">
        <x:f>IF(L293&gt;='Lookups &amp; Notes'!$E$4,"High Value","Standard")</x:f>
        <x:v>Standard</x:v>
      </x:c>
    </x:row>
    <x:row r="294">
      <x:c r="A294" s="38" t="str">
        <x:v>CUST-292</x:v>
      </x:c>
      <x:c r="B294" s="38" t="n">
        <x:f>'Raw Data'!A294</x:f>
        <x:v>1</x:v>
      </x:c>
      <x:c r="C294" s="38" t="n">
        <x:f>'Raw Data'!B294</x:f>
        <x:v>3</x:v>
      </x:c>
      <x:c r="D294" s="10" t="n">
        <x:f>'Raw Data'!C294</x:f>
        <x:v>6022</x:v>
      </x:c>
      <x:c r="E294" s="10" t="n">
        <x:f>'Raw Data'!D294</x:f>
        <x:v>3354</x:v>
      </x:c>
      <x:c r="F294" s="10" t="n">
        <x:f>'Raw Data'!E294</x:f>
        <x:v>3261</x:v>
      </x:c>
      <x:c r="G294" s="10" t="n">
        <x:f>'Raw Data'!F294</x:f>
        <x:v>2507</x:v>
      </x:c>
      <x:c r="H294" s="10" t="n">
        <x:f>'Raw Data'!G294</x:f>
        <x:v>212</x:v>
      </x:c>
      <x:c r="I294" s="10" t="n">
        <x:f>'Raw Data'!H294</x:f>
        <x:v>686</x:v>
      </x:c>
      <x:c r="J294" s="10" t="str">
        <x:f>VLOOKUP(B294,'Lookups &amp; Notes'!$A$4:$B$5,2,FALSE)</x:f>
        <x:v>Horeca</x:v>
      </x:c>
      <x:c r="K294" s="10" t="str">
        <x:f>VLOOKUP(C294,'Lookups &amp; Notes'!$A$8:$B$10,2,FALSE)</x:f>
        <x:v>Other</x:v>
      </x:c>
      <x:c r="L294" s="10" t="n">
        <x:f>SUM(D294:I294)</x:f>
        <x:v>16042</x:v>
      </x:c>
      <x:c r="M294" s="39" t="n">
        <x:f>IFERROR(F294/L294,0)</x:f>
        <x:v>0.20327889290612144</x:v>
      </x:c>
      <x:c r="N294" s="38" t="str">
        <x:f>IF(L294&gt;='Lookups &amp; Notes'!$E$4,"High Value","Standard")</x:f>
        <x:v>Standard</x:v>
      </x:c>
    </x:row>
    <x:row r="295">
      <x:c r="A295" s="38" t="str">
        <x:v>CUST-293</x:v>
      </x:c>
      <x:c r="B295" s="38" t="n">
        <x:f>'Raw Data'!A295</x:f>
        <x:v>1</x:v>
      </x:c>
      <x:c r="C295" s="38" t="n">
        <x:f>'Raw Data'!B295</x:f>
        <x:v>3</x:v>
      </x:c>
      <x:c r="D295" s="10" t="n">
        <x:f>'Raw Data'!C295</x:f>
        <x:v>2838</x:v>
      </x:c>
      <x:c r="E295" s="10" t="n">
        <x:f>'Raw Data'!D295</x:f>
        <x:v>3086</x:v>
      </x:c>
      <x:c r="F295" s="10" t="n">
        <x:f>'Raw Data'!E295</x:f>
        <x:v>4329</x:v>
      </x:c>
      <x:c r="G295" s="10" t="n">
        <x:f>'Raw Data'!F295</x:f>
        <x:v>3838</x:v>
      </x:c>
      <x:c r="H295" s="10" t="n">
        <x:f>'Raw Data'!G295</x:f>
        <x:v>825</x:v>
      </x:c>
      <x:c r="I295" s="10" t="n">
        <x:f>'Raw Data'!H295</x:f>
        <x:v>1060</x:v>
      </x:c>
      <x:c r="J295" s="10" t="str">
        <x:f>VLOOKUP(B295,'Lookups &amp; Notes'!$A$4:$B$5,2,FALSE)</x:f>
        <x:v>Horeca</x:v>
      </x:c>
      <x:c r="K295" s="10" t="str">
        <x:f>VLOOKUP(C295,'Lookups &amp; Notes'!$A$8:$B$10,2,FALSE)</x:f>
        <x:v>Other</x:v>
      </x:c>
      <x:c r="L295" s="10" t="n">
        <x:f>SUM(D295:I295)</x:f>
        <x:v>15976</x:v>
      </x:c>
      <x:c r="M295" s="39" t="n">
        <x:f>IFERROR(F295/L295,0)</x:f>
        <x:v>0.2709689534301452</x:v>
      </x:c>
      <x:c r="N295" s="38" t="str">
        <x:f>IF(L295&gt;='Lookups &amp; Notes'!$E$4,"High Value","Standard")</x:f>
        <x:v>Standard</x:v>
      </x:c>
    </x:row>
    <x:row r="296">
      <x:c r="A296" s="38" t="str">
        <x:v>CUST-294</x:v>
      </x:c>
      <x:c r="B296" s="38" t="n">
        <x:f>'Raw Data'!A296</x:f>
        <x:v>2</x:v>
      </x:c>
      <x:c r="C296" s="38" t="n">
        <x:f>'Raw Data'!B296</x:f>
        <x:v>2</x:v>
      </x:c>
      <x:c r="D296" s="10" t="n">
        <x:f>'Raw Data'!C296</x:f>
        <x:v>3996</x:v>
      </x:c>
      <x:c r="E296" s="10" t="n">
        <x:f>'Raw Data'!D296</x:f>
        <x:v>11103</x:v>
      </x:c>
      <x:c r="F296" s="10" t="n">
        <x:f>'Raw Data'!E296</x:f>
        <x:v>12469</x:v>
      </x:c>
      <x:c r="G296" s="10" t="n">
        <x:f>'Raw Data'!F296</x:f>
        <x:v>902</x:v>
      </x:c>
      <x:c r="H296" s="10" t="n">
        <x:f>'Raw Data'!G296</x:f>
        <x:v>5952</x:v>
      </x:c>
      <x:c r="I296" s="10" t="n">
        <x:f>'Raw Data'!H296</x:f>
        <x:v>741</x:v>
      </x:c>
      <x:c r="J296" s="10" t="str">
        <x:f>VLOOKUP(B296,'Lookups &amp; Notes'!$A$4:$B$5,2,FALSE)</x:f>
        <x:v>Retail</x:v>
      </x:c>
      <x:c r="K296" s="10" t="str">
        <x:f>VLOOKUP(C296,'Lookups &amp; Notes'!$A$8:$B$10,2,FALSE)</x:f>
        <x:v>Oporto</x:v>
      </x:c>
      <x:c r="L296" s="10" t="n">
        <x:f>SUM(D296:I296)</x:f>
        <x:v>35163</x:v>
      </x:c>
      <x:c r="M296" s="39" t="n">
        <x:f>IFERROR(F296/L296,0)</x:f>
        <x:v>0.3546056934846287</x:v>
      </x:c>
      <x:c r="N296" s="38" t="str">
        <x:f>IF(L296&gt;='Lookups &amp; Notes'!$E$4,"High Value","Standard")</x:f>
        <x:v>High Value</x:v>
      </x:c>
    </x:row>
    <x:row r="297">
      <x:c r="A297" s="38" t="str">
        <x:v>CUST-295</x:v>
      </x:c>
      <x:c r="B297" s="38" t="n">
        <x:f>'Raw Data'!A297</x:f>
        <x:v>1</x:v>
      </x:c>
      <x:c r="C297" s="38" t="n">
        <x:f>'Raw Data'!B297</x:f>
        <x:v>2</x:v>
      </x:c>
      <x:c r="D297" s="10" t="n">
        <x:f>'Raw Data'!C297</x:f>
        <x:v>21273</x:v>
      </x:c>
      <x:c r="E297" s="10" t="n">
        <x:f>'Raw Data'!D297</x:f>
        <x:v>2013</x:v>
      </x:c>
      <x:c r="F297" s="10" t="n">
        <x:f>'Raw Data'!E297</x:f>
        <x:v>6550</x:v>
      </x:c>
      <x:c r="G297" s="10" t="n">
        <x:f>'Raw Data'!F297</x:f>
        <x:v>909</x:v>
      </x:c>
      <x:c r="H297" s="10" t="n">
        <x:f>'Raw Data'!G297</x:f>
        <x:v>811</x:v>
      </x:c>
      <x:c r="I297" s="10" t="n">
        <x:f>'Raw Data'!H297</x:f>
        <x:v>1854</x:v>
      </x:c>
      <x:c r="J297" s="10" t="str">
        <x:f>VLOOKUP(B297,'Lookups &amp; Notes'!$A$4:$B$5,2,FALSE)</x:f>
        <x:v>Horeca</x:v>
      </x:c>
      <x:c r="K297" s="10" t="str">
        <x:f>VLOOKUP(C297,'Lookups &amp; Notes'!$A$8:$B$10,2,FALSE)</x:f>
        <x:v>Oporto</x:v>
      </x:c>
      <x:c r="L297" s="10" t="n">
        <x:f>SUM(D297:I297)</x:f>
        <x:v>33410</x:v>
      </x:c>
      <x:c r="M297" s="39" t="n">
        <x:f>IFERROR(F297/L297,0)</x:f>
        <x:v>0.19604908709967075</x:v>
      </x:c>
      <x:c r="N297" s="38" t="str">
        <x:f>IF(L297&gt;='Lookups &amp; Notes'!$E$4,"High Value","Standard")</x:f>
        <x:v>High Value</x:v>
      </x:c>
    </x:row>
    <x:row r="298">
      <x:c r="A298" s="38" t="str">
        <x:v>CUST-296</x:v>
      </x:c>
      <x:c r="B298" s="38" t="n">
        <x:f>'Raw Data'!A298</x:f>
        <x:v>2</x:v>
      </x:c>
      <x:c r="C298" s="38" t="n">
        <x:f>'Raw Data'!B298</x:f>
        <x:v>2</x:v>
      </x:c>
      <x:c r="D298" s="10" t="n">
        <x:f>'Raw Data'!C298</x:f>
        <x:v>7588</x:v>
      </x:c>
      <x:c r="E298" s="10" t="n">
        <x:f>'Raw Data'!D298</x:f>
        <x:v>1897</x:v>
      </x:c>
      <x:c r="F298" s="10" t="n">
        <x:f>'Raw Data'!E298</x:f>
        <x:v>5234</x:v>
      </x:c>
      <x:c r="G298" s="10" t="n">
        <x:f>'Raw Data'!F298</x:f>
        <x:v>417</x:v>
      </x:c>
      <x:c r="H298" s="10" t="n">
        <x:f>'Raw Data'!G298</x:f>
        <x:v>2208</x:v>
      </x:c>
      <x:c r="I298" s="10" t="n">
        <x:f>'Raw Data'!H298</x:f>
        <x:v>254</x:v>
      </x:c>
      <x:c r="J298" s="10" t="str">
        <x:f>VLOOKUP(B298,'Lookups &amp; Notes'!$A$4:$B$5,2,FALSE)</x:f>
        <x:v>Retail</x:v>
      </x:c>
      <x:c r="K298" s="10" t="str">
        <x:f>VLOOKUP(C298,'Lookups &amp; Notes'!$A$8:$B$10,2,FALSE)</x:f>
        <x:v>Oporto</x:v>
      </x:c>
      <x:c r="L298" s="10" t="n">
        <x:f>SUM(D298:I298)</x:f>
        <x:v>17598</x:v>
      </x:c>
      <x:c r="M298" s="39" t="n">
        <x:f>IFERROR(F298/L298,0)</x:f>
        <x:v>0.29742016138197525</x:v>
      </x:c>
      <x:c r="N298" s="38" t="str">
        <x:f>IF(L298&gt;='Lookups &amp; Notes'!$E$4,"High Value","Standard")</x:f>
        <x:v>Standard</x:v>
      </x:c>
    </x:row>
    <x:row r="299">
      <x:c r="A299" s="38" t="str">
        <x:v>CUST-297</x:v>
      </x:c>
      <x:c r="B299" s="38" t="n">
        <x:f>'Raw Data'!A299</x:f>
        <x:v>1</x:v>
      </x:c>
      <x:c r="C299" s="38" t="n">
        <x:f>'Raw Data'!B299</x:f>
        <x:v>2</x:v>
      </x:c>
      <x:c r="D299" s="10" t="n">
        <x:f>'Raw Data'!C299</x:f>
        <x:v>19087</x:v>
      </x:c>
      <x:c r="E299" s="10" t="n">
        <x:f>'Raw Data'!D299</x:f>
        <x:v>1304</x:v>
      </x:c>
      <x:c r="F299" s="10" t="n">
        <x:f>'Raw Data'!E299</x:f>
        <x:v>3643</x:v>
      </x:c>
      <x:c r="G299" s="10" t="n">
        <x:f>'Raw Data'!F299</x:f>
        <x:v>3045</x:v>
      </x:c>
      <x:c r="H299" s="10" t="n">
        <x:f>'Raw Data'!G299</x:f>
        <x:v>710</x:v>
      </x:c>
      <x:c r="I299" s="10" t="n">
        <x:f>'Raw Data'!H299</x:f>
        <x:v>898</x:v>
      </x:c>
      <x:c r="J299" s="10" t="str">
        <x:f>VLOOKUP(B299,'Lookups &amp; Notes'!$A$4:$B$5,2,FALSE)</x:f>
        <x:v>Horeca</x:v>
      </x:c>
      <x:c r="K299" s="10" t="str">
        <x:f>VLOOKUP(C299,'Lookups &amp; Notes'!$A$8:$B$10,2,FALSE)</x:f>
        <x:v>Oporto</x:v>
      </x:c>
      <x:c r="L299" s="10" t="n">
        <x:f>SUM(D299:I299)</x:f>
        <x:v>28687</x:v>
      </x:c>
      <x:c r="M299" s="39" t="n">
        <x:f>IFERROR(F299/L299,0)</x:f>
        <x:v>0.12699132011015443</x:v>
      </x:c>
      <x:c r="N299" s="38" t="str">
        <x:f>IF(L299&gt;='Lookups &amp; Notes'!$E$4,"High Value","Standard")</x:f>
        <x:v>High Value</x:v>
      </x:c>
    </x:row>
    <x:row r="300">
      <x:c r="A300" s="38" t="str">
        <x:v>CUST-298</x:v>
      </x:c>
      <x:c r="B300" s="38" t="n">
        <x:f>'Raw Data'!A300</x:f>
        <x:v>2</x:v>
      </x:c>
      <x:c r="C300" s="38" t="n">
        <x:f>'Raw Data'!B300</x:f>
        <x:v>2</x:v>
      </x:c>
      <x:c r="D300" s="10" t="n">
        <x:f>'Raw Data'!C300</x:f>
        <x:v>8090</x:v>
      </x:c>
      <x:c r="E300" s="10" t="n">
        <x:f>'Raw Data'!D300</x:f>
        <x:v>3199</x:v>
      </x:c>
      <x:c r="F300" s="10" t="n">
        <x:f>'Raw Data'!E300</x:f>
        <x:v>6986</x:v>
      </x:c>
      <x:c r="G300" s="10" t="n">
        <x:f>'Raw Data'!F300</x:f>
        <x:v>1455</x:v>
      </x:c>
      <x:c r="H300" s="10" t="n">
        <x:f>'Raw Data'!G300</x:f>
        <x:v>3712</x:v>
      </x:c>
      <x:c r="I300" s="10" t="n">
        <x:f>'Raw Data'!H300</x:f>
        <x:v>531</x:v>
      </x:c>
      <x:c r="J300" s="10" t="str">
        <x:f>VLOOKUP(B300,'Lookups &amp; Notes'!$A$4:$B$5,2,FALSE)</x:f>
        <x:v>Retail</x:v>
      </x:c>
      <x:c r="K300" s="10" t="str">
        <x:f>VLOOKUP(C300,'Lookups &amp; Notes'!$A$8:$B$10,2,FALSE)</x:f>
        <x:v>Oporto</x:v>
      </x:c>
      <x:c r="L300" s="10" t="n">
        <x:f>SUM(D300:I300)</x:f>
        <x:v>23973</x:v>
      </x:c>
      <x:c r="M300" s="39" t="n">
        <x:f>IFERROR(F300/L300,0)</x:f>
        <x:v>0.2914111709005965</x:v>
      </x:c>
      <x:c r="N300" s="38" t="str">
        <x:f>IF(L300&gt;='Lookups &amp; Notes'!$E$4,"High Value","Standard")</x:f>
        <x:v>Standard</x:v>
      </x:c>
    </x:row>
    <x:row r="301">
      <x:c r="A301" s="38" t="str">
        <x:v>CUST-299</x:v>
      </x:c>
      <x:c r="B301" s="38" t="n">
        <x:f>'Raw Data'!A301</x:f>
        <x:v>2</x:v>
      </x:c>
      <x:c r="C301" s="38" t="n">
        <x:f>'Raw Data'!B301</x:f>
        <x:v>2</x:v>
      </x:c>
      <x:c r="D301" s="10" t="n">
        <x:f>'Raw Data'!C301</x:f>
        <x:v>6758</x:v>
      </x:c>
      <x:c r="E301" s="10" t="n">
        <x:f>'Raw Data'!D301</x:f>
        <x:v>4560</x:v>
      </x:c>
      <x:c r="F301" s="10" t="n">
        <x:f>'Raw Data'!E301</x:f>
        <x:v>9965</x:v>
      </x:c>
      <x:c r="G301" s="10" t="n">
        <x:f>'Raw Data'!F301</x:f>
        <x:v>934</x:v>
      </x:c>
      <x:c r="H301" s="10" t="n">
        <x:f>'Raw Data'!G301</x:f>
        <x:v>4538</x:v>
      </x:c>
      <x:c r="I301" s="10" t="n">
        <x:f>'Raw Data'!H301</x:f>
        <x:v>1037</x:v>
      </x:c>
      <x:c r="J301" s="10" t="str">
        <x:f>VLOOKUP(B301,'Lookups &amp; Notes'!$A$4:$B$5,2,FALSE)</x:f>
        <x:v>Retail</x:v>
      </x:c>
      <x:c r="K301" s="10" t="str">
        <x:f>VLOOKUP(C301,'Lookups &amp; Notes'!$A$8:$B$10,2,FALSE)</x:f>
        <x:v>Oporto</x:v>
      </x:c>
      <x:c r="L301" s="10" t="n">
        <x:f>SUM(D301:I301)</x:f>
        <x:v>27792</x:v>
      </x:c>
      <x:c r="M301" s="39" t="n">
        <x:f>IFERROR(F301/L301,0)</x:f>
        <x:v>0.3585564191134139</x:v>
      </x:c>
      <x:c r="N301" s="38" t="str">
        <x:f>IF(L301&gt;='Lookups &amp; Notes'!$E$4,"High Value","Standard")</x:f>
        <x:v>High Value</x:v>
      </x:c>
    </x:row>
    <x:row r="302">
      <x:c r="A302" s="38" t="str">
        <x:v>CUST-300</x:v>
      </x:c>
      <x:c r="B302" s="38" t="n">
        <x:f>'Raw Data'!A302</x:f>
        <x:v>1</x:v>
      </x:c>
      <x:c r="C302" s="38" t="n">
        <x:f>'Raw Data'!B302</x:f>
        <x:v>2</x:v>
      </x:c>
      <x:c r="D302" s="10" t="n">
        <x:f>'Raw Data'!C302</x:f>
        <x:v>444</x:v>
      </x:c>
      <x:c r="E302" s="10" t="n">
        <x:f>'Raw Data'!D302</x:f>
        <x:v>879</x:v>
      </x:c>
      <x:c r="F302" s="10" t="n">
        <x:f>'Raw Data'!E302</x:f>
        <x:v>2060</x:v>
      </x:c>
      <x:c r="G302" s="10" t="n">
        <x:f>'Raw Data'!F302</x:f>
        <x:v>264</x:v>
      </x:c>
      <x:c r="H302" s="10" t="n">
        <x:f>'Raw Data'!G302</x:f>
        <x:v>290</x:v>
      </x:c>
      <x:c r="I302" s="10" t="n">
        <x:f>'Raw Data'!H302</x:f>
        <x:v>259</x:v>
      </x:c>
      <x:c r="J302" s="10" t="str">
        <x:f>VLOOKUP(B302,'Lookups &amp; Notes'!$A$4:$B$5,2,FALSE)</x:f>
        <x:v>Horeca</x:v>
      </x:c>
      <x:c r="K302" s="10" t="str">
        <x:f>VLOOKUP(C302,'Lookups &amp; Notes'!$A$8:$B$10,2,FALSE)</x:f>
        <x:v>Oporto</x:v>
      </x:c>
      <x:c r="L302" s="10" t="n">
        <x:f>SUM(D302:I302)</x:f>
        <x:v>4196</x:v>
      </x:c>
      <x:c r="M302" s="39" t="n">
        <x:f>IFERROR(F302/L302,0)</x:f>
        <x:v>0.4909437559580553</x:v>
      </x:c>
      <x:c r="N302" s="38" t="str">
        <x:f>IF(L302&gt;='Lookups &amp; Notes'!$E$4,"High Value","Standard")</x:f>
        <x:v>Standard</x:v>
      </x:c>
    </x:row>
    <x:row r="303">
      <x:c r="A303" s="38" t="str">
        <x:v>CUST-301</x:v>
      </x:c>
      <x:c r="B303" s="38" t="n">
        <x:f>'Raw Data'!A303</x:f>
        <x:v>2</x:v>
      </x:c>
      <x:c r="C303" s="38" t="n">
        <x:f>'Raw Data'!B303</x:f>
        <x:v>2</x:v>
      </x:c>
      <x:c r="D303" s="10" t="n">
        <x:f>'Raw Data'!C303</x:f>
        <x:v>16448</x:v>
      </x:c>
      <x:c r="E303" s="10" t="n">
        <x:f>'Raw Data'!D303</x:f>
        <x:v>6243</x:v>
      </x:c>
      <x:c r="F303" s="10" t="n">
        <x:f>'Raw Data'!E303</x:f>
        <x:v>6360</x:v>
      </x:c>
      <x:c r="G303" s="10" t="n">
        <x:f>'Raw Data'!F303</x:f>
        <x:v>824</x:v>
      </x:c>
      <x:c r="H303" s="10" t="n">
        <x:f>'Raw Data'!G303</x:f>
        <x:v>2662</x:v>
      </x:c>
      <x:c r="I303" s="10" t="n">
        <x:f>'Raw Data'!H303</x:f>
        <x:v>2005</x:v>
      </x:c>
      <x:c r="J303" s="10" t="str">
        <x:f>VLOOKUP(B303,'Lookups &amp; Notes'!$A$4:$B$5,2,FALSE)</x:f>
        <x:v>Retail</x:v>
      </x:c>
      <x:c r="K303" s="10" t="str">
        <x:f>VLOOKUP(C303,'Lookups &amp; Notes'!$A$8:$B$10,2,FALSE)</x:f>
        <x:v>Oporto</x:v>
      </x:c>
      <x:c r="L303" s="10" t="n">
        <x:f>SUM(D303:I303)</x:f>
        <x:v>34542</x:v>
      </x:c>
      <x:c r="M303" s="39" t="n">
        <x:f>IFERROR(F303/L303,0)</x:f>
        <x:v>0.18412367552544728</x:v>
      </x:c>
      <x:c r="N303" s="38" t="str">
        <x:f>IF(L303&gt;='Lookups &amp; Notes'!$E$4,"High Value","Standard")</x:f>
        <x:v>High Value</x:v>
      </x:c>
    </x:row>
    <x:row r="304">
      <x:c r="A304" s="38" t="str">
        <x:v>CUST-302</x:v>
      </x:c>
      <x:c r="B304" s="38" t="n">
        <x:f>'Raw Data'!A304</x:f>
        <x:v>2</x:v>
      </x:c>
      <x:c r="C304" s="38" t="n">
        <x:f>'Raw Data'!B304</x:f>
        <x:v>2</x:v>
      </x:c>
      <x:c r="D304" s="10" t="n">
        <x:f>'Raw Data'!C304</x:f>
        <x:v>5283</x:v>
      </x:c>
      <x:c r="E304" s="10" t="n">
        <x:f>'Raw Data'!D304</x:f>
        <x:v>13316</x:v>
      </x:c>
      <x:c r="F304" s="10" t="n">
        <x:f>'Raw Data'!E304</x:f>
        <x:v>20399</x:v>
      </x:c>
      <x:c r="G304" s="10" t="n">
        <x:f>'Raw Data'!F304</x:f>
        <x:v>1809</x:v>
      </x:c>
      <x:c r="H304" s="10" t="n">
        <x:f>'Raw Data'!G304</x:f>
        <x:v>8752</x:v>
      </x:c>
      <x:c r="I304" s="10" t="n">
        <x:f>'Raw Data'!H304</x:f>
        <x:v>172</x:v>
      </x:c>
      <x:c r="J304" s="10" t="str">
        <x:f>VLOOKUP(B304,'Lookups &amp; Notes'!$A$4:$B$5,2,FALSE)</x:f>
        <x:v>Retail</x:v>
      </x:c>
      <x:c r="K304" s="10" t="str">
        <x:f>VLOOKUP(C304,'Lookups &amp; Notes'!$A$8:$B$10,2,FALSE)</x:f>
        <x:v>Oporto</x:v>
      </x:c>
      <x:c r="L304" s="10" t="n">
        <x:f>SUM(D304:I304)</x:f>
        <x:v>49731</x:v>
      </x:c>
      <x:c r="M304" s="39" t="n">
        <x:f>IFERROR(F304/L304,0)</x:f>
        <x:v>0.41018680501095894</x:v>
      </x:c>
      <x:c r="N304" s="38" t="str">
        <x:f>IF(L304&gt;='Lookups &amp; Notes'!$E$4,"High Value","Standard")</x:f>
        <x:v>High Value</x:v>
      </x:c>
    </x:row>
    <x:row r="305">
      <x:c r="A305" s="38" t="str">
        <x:v>CUST-303</x:v>
      </x:c>
      <x:c r="B305" s="38" t="n">
        <x:f>'Raw Data'!A305</x:f>
        <x:v>2</x:v>
      </x:c>
      <x:c r="C305" s="38" t="n">
        <x:f>'Raw Data'!B305</x:f>
        <x:v>2</x:v>
      </x:c>
      <x:c r="D305" s="10" t="n">
        <x:f>'Raw Data'!C305</x:f>
        <x:v>2886</x:v>
      </x:c>
      <x:c r="E305" s="10" t="n">
        <x:f>'Raw Data'!D305</x:f>
        <x:v>5302</x:v>
      </x:c>
      <x:c r="F305" s="10" t="n">
        <x:f>'Raw Data'!E305</x:f>
        <x:v>9785</x:v>
      </x:c>
      <x:c r="G305" s="10" t="n">
        <x:f>'Raw Data'!F305</x:f>
        <x:v>364</x:v>
      </x:c>
      <x:c r="H305" s="10" t="n">
        <x:f>'Raw Data'!G305</x:f>
        <x:v>6236</x:v>
      </x:c>
      <x:c r="I305" s="10" t="n">
        <x:f>'Raw Data'!H305</x:f>
        <x:v>555</x:v>
      </x:c>
      <x:c r="J305" s="10" t="str">
        <x:f>VLOOKUP(B305,'Lookups &amp; Notes'!$A$4:$B$5,2,FALSE)</x:f>
        <x:v>Retail</x:v>
      </x:c>
      <x:c r="K305" s="10" t="str">
        <x:f>VLOOKUP(C305,'Lookups &amp; Notes'!$A$8:$B$10,2,FALSE)</x:f>
        <x:v>Oporto</x:v>
      </x:c>
      <x:c r="L305" s="10" t="n">
        <x:f>SUM(D305:I305)</x:f>
        <x:v>25128</x:v>
      </x:c>
      <x:c r="M305" s="39" t="n">
        <x:f>IFERROR(F305/L305,0)</x:f>
        <x:v>0.3894062400509392</x:v>
      </x:c>
      <x:c r="N305" s="38" t="str">
        <x:f>IF(L305&gt;='Lookups &amp; Notes'!$E$4,"High Value","Standard")</x:f>
        <x:v>Standard</x:v>
      </x:c>
    </x:row>
    <x:row r="306">
      <x:c r="A306" s="38" t="str">
        <x:v>CUST-304</x:v>
      </x:c>
      <x:c r="B306" s="38" t="n">
        <x:f>'Raw Data'!A306</x:f>
        <x:v>2</x:v>
      </x:c>
      <x:c r="C306" s="38" t="n">
        <x:f>'Raw Data'!B306</x:f>
        <x:v>2</x:v>
      </x:c>
      <x:c r="D306" s="10" t="n">
        <x:f>'Raw Data'!C306</x:f>
        <x:v>2599</x:v>
      </x:c>
      <x:c r="E306" s="10" t="n">
        <x:f>'Raw Data'!D306</x:f>
        <x:v>3688</x:v>
      </x:c>
      <x:c r="F306" s="10" t="n">
        <x:f>'Raw Data'!E306</x:f>
        <x:v>13829</x:v>
      </x:c>
      <x:c r="G306" s="10" t="n">
        <x:f>'Raw Data'!F306</x:f>
        <x:v>492</x:v>
      </x:c>
      <x:c r="H306" s="10" t="n">
        <x:f>'Raw Data'!G306</x:f>
        <x:v>10069</x:v>
      </x:c>
      <x:c r="I306" s="10" t="n">
        <x:f>'Raw Data'!H306</x:f>
        <x:v>59</x:v>
      </x:c>
      <x:c r="J306" s="10" t="str">
        <x:f>VLOOKUP(B306,'Lookups &amp; Notes'!$A$4:$B$5,2,FALSE)</x:f>
        <x:v>Retail</x:v>
      </x:c>
      <x:c r="K306" s="10" t="str">
        <x:f>VLOOKUP(C306,'Lookups &amp; Notes'!$A$8:$B$10,2,FALSE)</x:f>
        <x:v>Oporto</x:v>
      </x:c>
      <x:c r="L306" s="10" t="n">
        <x:f>SUM(D306:I306)</x:f>
        <x:v>30736</x:v>
      </x:c>
      <x:c r="M306" s="39" t="n">
        <x:f>IFERROR(F306/L306,0)</x:f>
        <x:v>0.44992842269651223</x:v>
      </x:c>
      <x:c r="N306" s="38" t="str">
        <x:f>IF(L306&gt;='Lookups &amp; Notes'!$E$4,"High Value","Standard")</x:f>
        <x:v>High Value</x:v>
      </x:c>
    </x:row>
    <x:row r="307">
      <x:c r="A307" s="38" t="str">
        <x:v>CUST-305</x:v>
      </x:c>
      <x:c r="B307" s="38" t="n">
        <x:f>'Raw Data'!A307</x:f>
        <x:v>2</x:v>
      </x:c>
      <x:c r="C307" s="38" t="n">
        <x:f>'Raw Data'!B307</x:f>
        <x:v>2</x:v>
      </x:c>
      <x:c r="D307" s="10" t="n">
        <x:f>'Raw Data'!C307</x:f>
        <x:v>161</x:v>
      </x:c>
      <x:c r="E307" s="10" t="n">
        <x:f>'Raw Data'!D307</x:f>
        <x:v>7460</x:v>
      </x:c>
      <x:c r="F307" s="10" t="n">
        <x:f>'Raw Data'!E307</x:f>
        <x:v>24773</x:v>
      </x:c>
      <x:c r="G307" s="10" t="n">
        <x:f>'Raw Data'!F307</x:f>
        <x:v>617</x:v>
      </x:c>
      <x:c r="H307" s="10" t="n">
        <x:f>'Raw Data'!G307</x:f>
        <x:v>11783</x:v>
      </x:c>
      <x:c r="I307" s="10" t="n">
        <x:f>'Raw Data'!H307</x:f>
        <x:v>2410</x:v>
      </x:c>
      <x:c r="J307" s="10" t="str">
        <x:f>VLOOKUP(B307,'Lookups &amp; Notes'!$A$4:$B$5,2,FALSE)</x:f>
        <x:v>Retail</x:v>
      </x:c>
      <x:c r="K307" s="10" t="str">
        <x:f>VLOOKUP(C307,'Lookups &amp; Notes'!$A$8:$B$10,2,FALSE)</x:f>
        <x:v>Oporto</x:v>
      </x:c>
      <x:c r="L307" s="10" t="n">
        <x:f>SUM(D307:I307)</x:f>
        <x:v>47204</x:v>
      </x:c>
      <x:c r="M307" s="39" t="n">
        <x:f>IFERROR(F307/L307,0)</x:f>
        <x:v>0.5248072197271417</x:v>
      </x:c>
      <x:c r="N307" s="38" t="str">
        <x:f>IF(L307&gt;='Lookups &amp; Notes'!$E$4,"High Value","Standard")</x:f>
        <x:v>High Value</x:v>
      </x:c>
    </x:row>
    <x:row r="308">
      <x:c r="A308" s="38" t="str">
        <x:v>CUST-306</x:v>
      </x:c>
      <x:c r="B308" s="38" t="n">
        <x:f>'Raw Data'!A308</x:f>
        <x:v>2</x:v>
      </x:c>
      <x:c r="C308" s="38" t="n">
        <x:f>'Raw Data'!B308</x:f>
        <x:v>2</x:v>
      </x:c>
      <x:c r="D308" s="10" t="n">
        <x:f>'Raw Data'!C308</x:f>
        <x:v>243</x:v>
      </x:c>
      <x:c r="E308" s="10" t="n">
        <x:f>'Raw Data'!D308</x:f>
        <x:v>12939</x:v>
      </x:c>
      <x:c r="F308" s="10" t="n">
        <x:f>'Raw Data'!E308</x:f>
        <x:v>8852</x:v>
      </x:c>
      <x:c r="G308" s="10" t="n">
        <x:f>'Raw Data'!F308</x:f>
        <x:v>799</x:v>
      </x:c>
      <x:c r="H308" s="10" t="n">
        <x:f>'Raw Data'!G308</x:f>
        <x:v>3909</x:v>
      </x:c>
      <x:c r="I308" s="10" t="n">
        <x:f>'Raw Data'!H308</x:f>
        <x:v>211</x:v>
      </x:c>
      <x:c r="J308" s="10" t="str">
        <x:f>VLOOKUP(B308,'Lookups &amp; Notes'!$A$4:$B$5,2,FALSE)</x:f>
        <x:v>Retail</x:v>
      </x:c>
      <x:c r="K308" s="10" t="str">
        <x:f>VLOOKUP(C308,'Lookups &amp; Notes'!$A$8:$B$10,2,FALSE)</x:f>
        <x:v>Oporto</x:v>
      </x:c>
      <x:c r="L308" s="10" t="n">
        <x:f>SUM(D308:I308)</x:f>
        <x:v>26953</x:v>
      </x:c>
      <x:c r="M308" s="39" t="n">
        <x:f>IFERROR(F308/L308,0)</x:f>
        <x:v>0.3284235521092272</x:v>
      </x:c>
      <x:c r="N308" s="38" t="str">
        <x:f>IF(L308&gt;='Lookups &amp; Notes'!$E$4,"High Value","Standard")</x:f>
        <x:v>Standard</x:v>
      </x:c>
    </x:row>
    <x:row r="309">
      <x:c r="A309" s="38" t="str">
        <x:v>CUST-307</x:v>
      </x:c>
      <x:c r="B309" s="38" t="n">
        <x:f>'Raw Data'!A309</x:f>
        <x:v>2</x:v>
      </x:c>
      <x:c r="C309" s="38" t="n">
        <x:f>'Raw Data'!B309</x:f>
        <x:v>2</x:v>
      </x:c>
      <x:c r="D309" s="10" t="n">
        <x:f>'Raw Data'!C309</x:f>
        <x:v>6468</x:v>
      </x:c>
      <x:c r="E309" s="10" t="n">
        <x:f>'Raw Data'!D309</x:f>
        <x:v>12867</x:v>
      </x:c>
      <x:c r="F309" s="10" t="n">
        <x:f>'Raw Data'!E309</x:f>
        <x:v>21570</x:v>
      </x:c>
      <x:c r="G309" s="10" t="n">
        <x:f>'Raw Data'!F309</x:f>
        <x:v>1840</x:v>
      </x:c>
      <x:c r="H309" s="10" t="n">
        <x:f>'Raw Data'!G309</x:f>
        <x:v>7558</x:v>
      </x:c>
      <x:c r="I309" s="10" t="n">
        <x:f>'Raw Data'!H309</x:f>
        <x:v>1543</x:v>
      </x:c>
      <x:c r="J309" s="10" t="str">
        <x:f>VLOOKUP(B309,'Lookups &amp; Notes'!$A$4:$B$5,2,FALSE)</x:f>
        <x:v>Retail</x:v>
      </x:c>
      <x:c r="K309" s="10" t="str">
        <x:f>VLOOKUP(C309,'Lookups &amp; Notes'!$A$8:$B$10,2,FALSE)</x:f>
        <x:v>Oporto</x:v>
      </x:c>
      <x:c r="L309" s="10" t="n">
        <x:f>SUM(D309:I309)</x:f>
        <x:v>51846</x:v>
      </x:c>
      <x:c r="M309" s="39" t="n">
        <x:f>IFERROR(F309/L309,0)</x:f>
        <x:v>0.41603981020715197</x:v>
      </x:c>
      <x:c r="N309" s="38" t="str">
        <x:f>IF(L309&gt;='Lookups &amp; Notes'!$E$4,"High Value","Standard")</x:f>
        <x:v>High Value</x:v>
      </x:c>
    </x:row>
    <x:row r="310">
      <x:c r="A310" s="38" t="str">
        <x:v>CUST-308</x:v>
      </x:c>
      <x:c r="B310" s="38" t="n">
        <x:f>'Raw Data'!A310</x:f>
        <x:v>1</x:v>
      </x:c>
      <x:c r="C310" s="38" t="n">
        <x:f>'Raw Data'!B310</x:f>
        <x:v>2</x:v>
      </x:c>
      <x:c r="D310" s="10" t="n">
        <x:f>'Raw Data'!C310</x:f>
        <x:v>17327</x:v>
      </x:c>
      <x:c r="E310" s="10" t="n">
        <x:f>'Raw Data'!D310</x:f>
        <x:v>2374</x:v>
      </x:c>
      <x:c r="F310" s="10" t="n">
        <x:f>'Raw Data'!E310</x:f>
        <x:v>2842</x:v>
      </x:c>
      <x:c r="G310" s="10" t="n">
        <x:f>'Raw Data'!F310</x:f>
        <x:v>1149</x:v>
      </x:c>
      <x:c r="H310" s="10" t="n">
        <x:f>'Raw Data'!G310</x:f>
        <x:v>351</x:v>
      </x:c>
      <x:c r="I310" s="10" t="n">
        <x:f>'Raw Data'!H310</x:f>
        <x:v>925</x:v>
      </x:c>
      <x:c r="J310" s="10" t="str">
        <x:f>VLOOKUP(B310,'Lookups &amp; Notes'!$A$4:$B$5,2,FALSE)</x:f>
        <x:v>Horeca</x:v>
      </x:c>
      <x:c r="K310" s="10" t="str">
        <x:f>VLOOKUP(C310,'Lookups &amp; Notes'!$A$8:$B$10,2,FALSE)</x:f>
        <x:v>Oporto</x:v>
      </x:c>
      <x:c r="L310" s="10" t="n">
        <x:f>SUM(D310:I310)</x:f>
        <x:v>24968</x:v>
      </x:c>
      <x:c r="M310" s="39" t="n">
        <x:f>IFERROR(F310/L310,0)</x:f>
        <x:v>0.1138256968920218</x:v>
      </x:c>
      <x:c r="N310" s="38" t="str">
        <x:f>IF(L310&gt;='Lookups &amp; Notes'!$E$4,"High Value","Standard")</x:f>
        <x:v>Standard</x:v>
      </x:c>
    </x:row>
    <x:row r="311">
      <x:c r="A311" s="38" t="str">
        <x:v>CUST-309</x:v>
      </x:c>
      <x:c r="B311" s="38" t="n">
        <x:f>'Raw Data'!A311</x:f>
        <x:v>1</x:v>
      </x:c>
      <x:c r="C311" s="38" t="n">
        <x:f>'Raw Data'!B311</x:f>
        <x:v>2</x:v>
      </x:c>
      <x:c r="D311" s="10" t="n">
        <x:f>'Raw Data'!C311</x:f>
        <x:v>6987</x:v>
      </x:c>
      <x:c r="E311" s="10" t="n">
        <x:f>'Raw Data'!D311</x:f>
        <x:v>1020</x:v>
      </x:c>
      <x:c r="F311" s="10" t="n">
        <x:f>'Raw Data'!E311</x:f>
        <x:v>3007</x:v>
      </x:c>
      <x:c r="G311" s="10" t="n">
        <x:f>'Raw Data'!F311</x:f>
        <x:v>416</x:v>
      </x:c>
      <x:c r="H311" s="10" t="n">
        <x:f>'Raw Data'!G311</x:f>
        <x:v>257</x:v>
      </x:c>
      <x:c r="I311" s="10" t="n">
        <x:f>'Raw Data'!H311</x:f>
        <x:v>656</x:v>
      </x:c>
      <x:c r="J311" s="10" t="str">
        <x:f>VLOOKUP(B311,'Lookups &amp; Notes'!$A$4:$B$5,2,FALSE)</x:f>
        <x:v>Horeca</x:v>
      </x:c>
      <x:c r="K311" s="10" t="str">
        <x:f>VLOOKUP(C311,'Lookups &amp; Notes'!$A$8:$B$10,2,FALSE)</x:f>
        <x:v>Oporto</x:v>
      </x:c>
      <x:c r="L311" s="10" t="n">
        <x:f>SUM(D311:I311)</x:f>
        <x:v>12343</x:v>
      </x:c>
      <x:c r="M311" s="39" t="n">
        <x:f>IFERROR(F311/L311,0)</x:f>
        <x:v>0.24361986551081585</x:v>
      </x:c>
      <x:c r="N311" s="38" t="str">
        <x:f>IF(L311&gt;='Lookups &amp; Notes'!$E$4,"High Value","Standard")</x:f>
        <x:v>Standard</x:v>
      </x:c>
    </x:row>
    <x:row r="312">
      <x:c r="A312" s="38" t="str">
        <x:v>CUST-310</x:v>
      </x:c>
      <x:c r="B312" s="38" t="n">
        <x:f>'Raw Data'!A312</x:f>
        <x:v>2</x:v>
      </x:c>
      <x:c r="C312" s="38" t="n">
        <x:f>'Raw Data'!B312</x:f>
        <x:v>2</x:v>
      </x:c>
      <x:c r="D312" s="10" t="n">
        <x:f>'Raw Data'!C312</x:f>
        <x:v>918</x:v>
      </x:c>
      <x:c r="E312" s="10" t="n">
        <x:f>'Raw Data'!D312</x:f>
        <x:v>20655</x:v>
      </x:c>
      <x:c r="F312" s="10" t="n">
        <x:f>'Raw Data'!E312</x:f>
        <x:v>13567</x:v>
      </x:c>
      <x:c r="G312" s="10" t="n">
        <x:f>'Raw Data'!F312</x:f>
        <x:v>1465</x:v>
      </x:c>
      <x:c r="H312" s="10" t="n">
        <x:f>'Raw Data'!G312</x:f>
        <x:v>6846</x:v>
      </x:c>
      <x:c r="I312" s="10" t="n">
        <x:f>'Raw Data'!H312</x:f>
        <x:v>806</x:v>
      </x:c>
      <x:c r="J312" s="10" t="str">
        <x:f>VLOOKUP(B312,'Lookups &amp; Notes'!$A$4:$B$5,2,FALSE)</x:f>
        <x:v>Retail</x:v>
      </x:c>
      <x:c r="K312" s="10" t="str">
        <x:f>VLOOKUP(C312,'Lookups &amp; Notes'!$A$8:$B$10,2,FALSE)</x:f>
        <x:v>Oporto</x:v>
      </x:c>
      <x:c r="L312" s="10" t="n">
        <x:f>SUM(D312:I312)</x:f>
        <x:v>44257</x:v>
      </x:c>
      <x:c r="M312" s="39" t="n">
        <x:f>IFERROR(F312/L312,0)</x:f>
        <x:v>0.30655037621167275</x:v>
      </x:c>
      <x:c r="N312" s="38" t="str">
        <x:f>IF(L312&gt;='Lookups &amp; Notes'!$E$4,"High Value","Standard")</x:f>
        <x:v>High Value</x:v>
      </x:c>
    </x:row>
    <x:row r="313">
      <x:c r="A313" s="38" t="str">
        <x:v>CUST-311</x:v>
      </x:c>
      <x:c r="B313" s="38" t="n">
        <x:f>'Raw Data'!A313</x:f>
        <x:v>1</x:v>
      </x:c>
      <x:c r="C313" s="38" t="n">
        <x:f>'Raw Data'!B313</x:f>
        <x:v>2</x:v>
      </x:c>
      <x:c r="D313" s="10" t="n">
        <x:f>'Raw Data'!C313</x:f>
        <x:v>7034</x:v>
      </x:c>
      <x:c r="E313" s="10" t="n">
        <x:f>'Raw Data'!D313</x:f>
        <x:v>1492</x:v>
      </x:c>
      <x:c r="F313" s="10" t="n">
        <x:f>'Raw Data'!E313</x:f>
        <x:v>2405</x:v>
      </x:c>
      <x:c r="G313" s="10" t="n">
        <x:f>'Raw Data'!F313</x:f>
        <x:v>12569</x:v>
      </x:c>
      <x:c r="H313" s="10" t="n">
        <x:f>'Raw Data'!G313</x:f>
        <x:v>299</x:v>
      </x:c>
      <x:c r="I313" s="10" t="n">
        <x:f>'Raw Data'!H313</x:f>
        <x:v>1117</x:v>
      </x:c>
      <x:c r="J313" s="10" t="str">
        <x:f>VLOOKUP(B313,'Lookups &amp; Notes'!$A$4:$B$5,2,FALSE)</x:f>
        <x:v>Horeca</x:v>
      </x:c>
      <x:c r="K313" s="10" t="str">
        <x:f>VLOOKUP(C313,'Lookups &amp; Notes'!$A$8:$B$10,2,FALSE)</x:f>
        <x:v>Oporto</x:v>
      </x:c>
      <x:c r="L313" s="10" t="n">
        <x:f>SUM(D313:I313)</x:f>
        <x:v>24916</x:v>
      </x:c>
      <x:c r="M313" s="39" t="n">
        <x:f>IFERROR(F313/L313,0)</x:f>
        <x:v>0.0965243217209825</x:v>
      </x:c>
      <x:c r="N313" s="38" t="str">
        <x:f>IF(L313&gt;='Lookups &amp; Notes'!$E$4,"High Value","Standard")</x:f>
        <x:v>Standard</x:v>
      </x:c>
    </x:row>
    <x:row r="314">
      <x:c r="A314" s="38" t="str">
        <x:v>CUST-312</x:v>
      </x:c>
      <x:c r="B314" s="38" t="n">
        <x:f>'Raw Data'!A314</x:f>
        <x:v>1</x:v>
      </x:c>
      <x:c r="C314" s="38" t="n">
        <x:f>'Raw Data'!B314</x:f>
        <x:v>2</x:v>
      </x:c>
      <x:c r="D314" s="10" t="n">
        <x:f>'Raw Data'!C314</x:f>
        <x:v>29635</x:v>
      </x:c>
      <x:c r="E314" s="10" t="n">
        <x:f>'Raw Data'!D314</x:f>
        <x:v>2335</x:v>
      </x:c>
      <x:c r="F314" s="10" t="n">
        <x:f>'Raw Data'!E314</x:f>
        <x:v>8280</x:v>
      </x:c>
      <x:c r="G314" s="10" t="n">
        <x:f>'Raw Data'!F314</x:f>
        <x:v>3046</x:v>
      </x:c>
      <x:c r="H314" s="10" t="n">
        <x:f>'Raw Data'!G314</x:f>
        <x:v>371</x:v>
      </x:c>
      <x:c r="I314" s="10" t="n">
        <x:f>'Raw Data'!H314</x:f>
        <x:v>117</x:v>
      </x:c>
      <x:c r="J314" s="10" t="str">
        <x:f>VLOOKUP(B314,'Lookups &amp; Notes'!$A$4:$B$5,2,FALSE)</x:f>
        <x:v>Horeca</x:v>
      </x:c>
      <x:c r="K314" s="10" t="str">
        <x:f>VLOOKUP(C314,'Lookups &amp; Notes'!$A$8:$B$10,2,FALSE)</x:f>
        <x:v>Oporto</x:v>
      </x:c>
      <x:c r="L314" s="10" t="n">
        <x:f>SUM(D314:I314)</x:f>
        <x:v>43784</x:v>
      </x:c>
      <x:c r="M314" s="39" t="n">
        <x:f>IFERROR(F314/L314,0)</x:f>
        <x:v>0.18911017723369267</x:v>
      </x:c>
      <x:c r="N314" s="38" t="str">
        <x:f>IF(L314&gt;='Lookups &amp; Notes'!$E$4,"High Value","Standard")</x:f>
        <x:v>High Value</x:v>
      </x:c>
    </x:row>
    <x:row r="315">
      <x:c r="A315" s="38" t="str">
        <x:v>CUST-313</x:v>
      </x:c>
      <x:c r="B315" s="38" t="n">
        <x:f>'Raw Data'!A315</x:f>
        <x:v>2</x:v>
      </x:c>
      <x:c r="C315" s="38" t="n">
        <x:f>'Raw Data'!B315</x:f>
        <x:v>2</x:v>
      </x:c>
      <x:c r="D315" s="10" t="n">
        <x:f>'Raw Data'!C315</x:f>
        <x:v>2137</x:v>
      </x:c>
      <x:c r="E315" s="10" t="n">
        <x:f>'Raw Data'!D315</x:f>
        <x:v>3737</x:v>
      </x:c>
      <x:c r="F315" s="10" t="n">
        <x:f>'Raw Data'!E315</x:f>
        <x:v>19172</x:v>
      </x:c>
      <x:c r="G315" s="10" t="n">
        <x:f>'Raw Data'!F315</x:f>
        <x:v>1274</x:v>
      </x:c>
      <x:c r="H315" s="10" t="n">
        <x:f>'Raw Data'!G315</x:f>
        <x:v>17120</x:v>
      </x:c>
      <x:c r="I315" s="10" t="n">
        <x:f>'Raw Data'!H315</x:f>
        <x:v>142</x:v>
      </x:c>
      <x:c r="J315" s="10" t="str">
        <x:f>VLOOKUP(B315,'Lookups &amp; Notes'!$A$4:$B$5,2,FALSE)</x:f>
        <x:v>Retail</x:v>
      </x:c>
      <x:c r="K315" s="10" t="str">
        <x:f>VLOOKUP(C315,'Lookups &amp; Notes'!$A$8:$B$10,2,FALSE)</x:f>
        <x:v>Oporto</x:v>
      </x:c>
      <x:c r="L315" s="10" t="n">
        <x:f>SUM(D315:I315)</x:f>
        <x:v>43582</x:v>
      </x:c>
      <x:c r="M315" s="39" t="n">
        <x:f>IFERROR(F315/L315,0)</x:f>
        <x:v>0.4399063833692809</x:v>
      </x:c>
      <x:c r="N315" s="38" t="str">
        <x:f>IF(L315&gt;='Lookups &amp; Notes'!$E$4,"High Value","Standard")</x:f>
        <x:v>High Value</x:v>
      </x:c>
    </x:row>
    <x:row r="316">
      <x:c r="A316" s="38" t="str">
        <x:v>CUST-314</x:v>
      </x:c>
      <x:c r="B316" s="38" t="n">
        <x:f>'Raw Data'!A316</x:f>
        <x:v>1</x:v>
      </x:c>
      <x:c r="C316" s="38" t="n">
        <x:f>'Raw Data'!B316</x:f>
        <x:v>2</x:v>
      </x:c>
      <x:c r="D316" s="10" t="n">
        <x:f>'Raw Data'!C316</x:f>
        <x:v>9784</x:v>
      </x:c>
      <x:c r="E316" s="10" t="n">
        <x:f>'Raw Data'!D316</x:f>
        <x:v>925</x:v>
      </x:c>
      <x:c r="F316" s="10" t="n">
        <x:f>'Raw Data'!E316</x:f>
        <x:v>2405</x:v>
      </x:c>
      <x:c r="G316" s="10" t="n">
        <x:f>'Raw Data'!F316</x:f>
        <x:v>4447</x:v>
      </x:c>
      <x:c r="H316" s="10" t="n">
        <x:f>'Raw Data'!G316</x:f>
        <x:v>183</x:v>
      </x:c>
      <x:c r="I316" s="10" t="n">
        <x:f>'Raw Data'!H316</x:f>
        <x:v>297</x:v>
      </x:c>
      <x:c r="J316" s="10" t="str">
        <x:f>VLOOKUP(B316,'Lookups &amp; Notes'!$A$4:$B$5,2,FALSE)</x:f>
        <x:v>Horeca</x:v>
      </x:c>
      <x:c r="K316" s="10" t="str">
        <x:f>VLOOKUP(C316,'Lookups &amp; Notes'!$A$8:$B$10,2,FALSE)</x:f>
        <x:v>Oporto</x:v>
      </x:c>
      <x:c r="L316" s="10" t="n">
        <x:f>SUM(D316:I316)</x:f>
        <x:v>18041</x:v>
      </x:c>
      <x:c r="M316" s="39" t="n">
        <x:f>IFERROR(F316/L316,0)</x:f>
        <x:v>0.1333074663267003</x:v>
      </x:c>
      <x:c r="N316" s="38" t="str">
        <x:f>IF(L316&gt;='Lookups &amp; Notes'!$E$4,"High Value","Standard")</x:f>
        <x:v>Standard</x:v>
      </x:c>
    </x:row>
    <x:row r="317">
      <x:c r="A317" s="38" t="str">
        <x:v>CUST-315</x:v>
      </x:c>
      <x:c r="B317" s="38" t="n">
        <x:f>'Raw Data'!A317</x:f>
        <x:v>1</x:v>
      </x:c>
      <x:c r="C317" s="38" t="n">
        <x:f>'Raw Data'!B317</x:f>
        <x:v>2</x:v>
      </x:c>
      <x:c r="D317" s="10" t="n">
        <x:f>'Raw Data'!C317</x:f>
        <x:v>10617</x:v>
      </x:c>
      <x:c r="E317" s="10" t="n">
        <x:f>'Raw Data'!D317</x:f>
        <x:v>1795</x:v>
      </x:c>
      <x:c r="F317" s="10" t="n">
        <x:f>'Raw Data'!E317</x:f>
        <x:v>7647</x:v>
      </x:c>
      <x:c r="G317" s="10" t="n">
        <x:f>'Raw Data'!F317</x:f>
        <x:v>1483</x:v>
      </x:c>
      <x:c r="H317" s="10" t="n">
        <x:f>'Raw Data'!G317</x:f>
        <x:v>857</x:v>
      </x:c>
      <x:c r="I317" s="10" t="n">
        <x:f>'Raw Data'!H317</x:f>
        <x:v>1233</x:v>
      </x:c>
      <x:c r="J317" s="10" t="str">
        <x:f>VLOOKUP(B317,'Lookups &amp; Notes'!$A$4:$B$5,2,FALSE)</x:f>
        <x:v>Horeca</x:v>
      </x:c>
      <x:c r="K317" s="10" t="str">
        <x:f>VLOOKUP(C317,'Lookups &amp; Notes'!$A$8:$B$10,2,FALSE)</x:f>
        <x:v>Oporto</x:v>
      </x:c>
      <x:c r="L317" s="10" t="n">
        <x:f>SUM(D317:I317)</x:f>
        <x:v>23632</x:v>
      </x:c>
      <x:c r="M317" s="39" t="n">
        <x:f>IFERROR(F317/L317,0)</x:f>
        <x:v>0.32358666215301285</x:v>
      </x:c>
      <x:c r="N317" s="38" t="str">
        <x:f>IF(L317&gt;='Lookups &amp; Notes'!$E$4,"High Value","Standard")</x:f>
        <x:v>Standard</x:v>
      </x:c>
    </x:row>
    <x:row r="318">
      <x:c r="A318" s="38" t="str">
        <x:v>CUST-316</x:v>
      </x:c>
      <x:c r="B318" s="38" t="n">
        <x:f>'Raw Data'!A318</x:f>
        <x:v>2</x:v>
      </x:c>
      <x:c r="C318" s="38" t="n">
        <x:f>'Raw Data'!B318</x:f>
        <x:v>2</x:v>
      </x:c>
      <x:c r="D318" s="10" t="n">
        <x:f>'Raw Data'!C318</x:f>
        <x:v>1479</x:v>
      </x:c>
      <x:c r="E318" s="10" t="n">
        <x:f>'Raw Data'!D318</x:f>
        <x:v>14982</x:v>
      </x:c>
      <x:c r="F318" s="10" t="n">
        <x:f>'Raw Data'!E318</x:f>
        <x:v>11924</x:v>
      </x:c>
      <x:c r="G318" s="10" t="n">
        <x:f>'Raw Data'!F318</x:f>
        <x:v>662</x:v>
      </x:c>
      <x:c r="H318" s="10" t="n">
        <x:f>'Raw Data'!G318</x:f>
        <x:v>3891</x:v>
      </x:c>
      <x:c r="I318" s="10" t="n">
        <x:f>'Raw Data'!H318</x:f>
        <x:v>3508</x:v>
      </x:c>
      <x:c r="J318" s="10" t="str">
        <x:f>VLOOKUP(B318,'Lookups &amp; Notes'!$A$4:$B$5,2,FALSE)</x:f>
        <x:v>Retail</x:v>
      </x:c>
      <x:c r="K318" s="10" t="str">
        <x:f>VLOOKUP(C318,'Lookups &amp; Notes'!$A$8:$B$10,2,FALSE)</x:f>
        <x:v>Oporto</x:v>
      </x:c>
      <x:c r="L318" s="10" t="n">
        <x:f>SUM(D318:I318)</x:f>
        <x:v>36446</x:v>
      </x:c>
      <x:c r="M318" s="39" t="n">
        <x:f>IFERROR(F318/L318,0)</x:f>
        <x:v>0.3271689623003896</x:v>
      </x:c>
      <x:c r="N318" s="38" t="str">
        <x:f>IF(L318&gt;='Lookups &amp; Notes'!$E$4,"High Value","Standard")</x:f>
        <x:v>High Value</x:v>
      </x:c>
    </x:row>
    <x:row r="319">
      <x:c r="A319" s="38" t="str">
        <x:v>CUST-317</x:v>
      </x:c>
      <x:c r="B319" s="38" t="n">
        <x:f>'Raw Data'!A319</x:f>
        <x:v>1</x:v>
      </x:c>
      <x:c r="C319" s="38" t="n">
        <x:f>'Raw Data'!B319</x:f>
        <x:v>2</x:v>
      </x:c>
      <x:c r="D319" s="10" t="n">
        <x:f>'Raw Data'!C319</x:f>
        <x:v>7127</x:v>
      </x:c>
      <x:c r="E319" s="10" t="n">
        <x:f>'Raw Data'!D319</x:f>
        <x:v>1375</x:v>
      </x:c>
      <x:c r="F319" s="10" t="n">
        <x:f>'Raw Data'!E319</x:f>
        <x:v>2201</x:v>
      </x:c>
      <x:c r="G319" s="10" t="n">
        <x:f>'Raw Data'!F319</x:f>
        <x:v>2679</x:v>
      </x:c>
      <x:c r="H319" s="10" t="n">
        <x:f>'Raw Data'!G319</x:f>
        <x:v>83</x:v>
      </x:c>
      <x:c r="I319" s="10" t="n">
        <x:f>'Raw Data'!H319</x:f>
        <x:v>1059</x:v>
      </x:c>
      <x:c r="J319" s="10" t="str">
        <x:f>VLOOKUP(B319,'Lookups &amp; Notes'!$A$4:$B$5,2,FALSE)</x:f>
        <x:v>Horeca</x:v>
      </x:c>
      <x:c r="K319" s="10" t="str">
        <x:f>VLOOKUP(C319,'Lookups &amp; Notes'!$A$8:$B$10,2,FALSE)</x:f>
        <x:v>Oporto</x:v>
      </x:c>
      <x:c r="L319" s="10" t="n">
        <x:f>SUM(D319:I319)</x:f>
        <x:v>14524</x:v>
      </x:c>
      <x:c r="M319" s="39" t="n">
        <x:f>IFERROR(F319/L319,0)</x:f>
        <x:v>0.15154227485541175</x:v>
      </x:c>
      <x:c r="N319" s="38" t="str">
        <x:f>IF(L319&gt;='Lookups &amp; Notes'!$E$4,"High Value","Standard")</x:f>
        <x:v>Standard</x:v>
      </x:c>
    </x:row>
    <x:row r="320">
      <x:c r="A320" s="38" t="str">
        <x:v>CUST-318</x:v>
      </x:c>
      <x:c r="B320" s="38" t="n">
        <x:f>'Raw Data'!A320</x:f>
        <x:v>1</x:v>
      </x:c>
      <x:c r="C320" s="38" t="n">
        <x:f>'Raw Data'!B320</x:f>
        <x:v>2</x:v>
      </x:c>
      <x:c r="D320" s="10" t="n">
        <x:f>'Raw Data'!C320</x:f>
        <x:v>1182</x:v>
      </x:c>
      <x:c r="E320" s="10" t="n">
        <x:f>'Raw Data'!D320</x:f>
        <x:v>3088</x:v>
      </x:c>
      <x:c r="F320" s="10" t="n">
        <x:f>'Raw Data'!E320</x:f>
        <x:v>6114</x:v>
      </x:c>
      <x:c r="G320" s="10" t="n">
        <x:f>'Raw Data'!F320</x:f>
        <x:v>978</x:v>
      </x:c>
      <x:c r="H320" s="10" t="n">
        <x:f>'Raw Data'!G320</x:f>
        <x:v>821</x:v>
      </x:c>
      <x:c r="I320" s="10" t="n">
        <x:f>'Raw Data'!H320</x:f>
        <x:v>1637</x:v>
      </x:c>
      <x:c r="J320" s="10" t="str">
        <x:f>VLOOKUP(B320,'Lookups &amp; Notes'!$A$4:$B$5,2,FALSE)</x:f>
        <x:v>Horeca</x:v>
      </x:c>
      <x:c r="K320" s="10" t="str">
        <x:f>VLOOKUP(C320,'Lookups &amp; Notes'!$A$8:$B$10,2,FALSE)</x:f>
        <x:v>Oporto</x:v>
      </x:c>
      <x:c r="L320" s="10" t="n">
        <x:f>SUM(D320:I320)</x:f>
        <x:v>13820</x:v>
      </x:c>
      <x:c r="M320" s="39" t="n">
        <x:f>IFERROR(F320/L320,0)</x:f>
        <x:v>0.44240231548480463</x:v>
      </x:c>
      <x:c r="N320" s="38" t="str">
        <x:f>IF(L320&gt;='Lookups &amp; Notes'!$E$4,"High Value","Standard")</x:f>
        <x:v>Standard</x:v>
      </x:c>
    </x:row>
    <x:row r="321">
      <x:c r="A321" s="38" t="str">
        <x:v>CUST-319</x:v>
      </x:c>
      <x:c r="B321" s="38" t="n">
        <x:f>'Raw Data'!A321</x:f>
        <x:v>1</x:v>
      </x:c>
      <x:c r="C321" s="38" t="n">
        <x:f>'Raw Data'!B321</x:f>
        <x:v>2</x:v>
      </x:c>
      <x:c r="D321" s="10" t="n">
        <x:f>'Raw Data'!C321</x:f>
        <x:v>11800</x:v>
      </x:c>
      <x:c r="E321" s="10" t="n">
        <x:f>'Raw Data'!D321</x:f>
        <x:v>2713</x:v>
      </x:c>
      <x:c r="F321" s="10" t="n">
        <x:f>'Raw Data'!E321</x:f>
        <x:v>3558</x:v>
      </x:c>
      <x:c r="G321" s="10" t="n">
        <x:f>'Raw Data'!F321</x:f>
        <x:v>2121</x:v>
      </x:c>
      <x:c r="H321" s="10" t="n">
        <x:f>'Raw Data'!G321</x:f>
        <x:v>706</x:v>
      </x:c>
      <x:c r="I321" s="10" t="n">
        <x:f>'Raw Data'!H321</x:f>
        <x:v>51</x:v>
      </x:c>
      <x:c r="J321" s="10" t="str">
        <x:f>VLOOKUP(B321,'Lookups &amp; Notes'!$A$4:$B$5,2,FALSE)</x:f>
        <x:v>Horeca</x:v>
      </x:c>
      <x:c r="K321" s="10" t="str">
        <x:f>VLOOKUP(C321,'Lookups &amp; Notes'!$A$8:$B$10,2,FALSE)</x:f>
        <x:v>Oporto</x:v>
      </x:c>
      <x:c r="L321" s="10" t="n">
        <x:f>SUM(D321:I321)</x:f>
        <x:v>20949</x:v>
      </x:c>
      <x:c r="M321" s="39" t="n">
        <x:f>IFERROR(F321/L321,0)</x:f>
        <x:v>0.1698410425318631</x:v>
      </x:c>
      <x:c r="N321" s="38" t="str">
        <x:f>IF(L321&gt;='Lookups &amp; Notes'!$E$4,"High Value","Standard")</x:f>
        <x:v>Standard</x:v>
      </x:c>
    </x:row>
    <x:row r="322">
      <x:c r="A322" s="38" t="str">
        <x:v>CUST-320</x:v>
      </x:c>
      <x:c r="B322" s="38" t="n">
        <x:f>'Raw Data'!A322</x:f>
        <x:v>2</x:v>
      </x:c>
      <x:c r="C322" s="38" t="n">
        <x:f>'Raw Data'!B322</x:f>
        <x:v>2</x:v>
      </x:c>
      <x:c r="D322" s="10" t="n">
        <x:f>'Raw Data'!C322</x:f>
        <x:v>9759</x:v>
      </x:c>
      <x:c r="E322" s="10" t="n">
        <x:f>'Raw Data'!D322</x:f>
        <x:v>25071</x:v>
      </x:c>
      <x:c r="F322" s="10" t="n">
        <x:f>'Raw Data'!E322</x:f>
        <x:v>17645</x:v>
      </x:c>
      <x:c r="G322" s="10" t="n">
        <x:f>'Raw Data'!F322</x:f>
        <x:v>1128</x:v>
      </x:c>
      <x:c r="H322" s="10" t="n">
        <x:f>'Raw Data'!G322</x:f>
        <x:v>12408</x:v>
      </x:c>
      <x:c r="I322" s="10" t="n">
        <x:f>'Raw Data'!H322</x:f>
        <x:v>1625</x:v>
      </x:c>
      <x:c r="J322" s="10" t="str">
        <x:f>VLOOKUP(B322,'Lookups &amp; Notes'!$A$4:$B$5,2,FALSE)</x:f>
        <x:v>Retail</x:v>
      </x:c>
      <x:c r="K322" s="10" t="str">
        <x:f>VLOOKUP(C322,'Lookups &amp; Notes'!$A$8:$B$10,2,FALSE)</x:f>
        <x:v>Oporto</x:v>
      </x:c>
      <x:c r="L322" s="10" t="n">
        <x:f>SUM(D322:I322)</x:f>
        <x:v>67636</x:v>
      </x:c>
      <x:c r="M322" s="39" t="n">
        <x:f>IFERROR(F322/L322,0)</x:f>
        <x:v>0.26088177893429537</x:v>
      </x:c>
      <x:c r="N322" s="38" t="str">
        <x:f>IF(L322&gt;='Lookups &amp; Notes'!$E$4,"High Value","Standard")</x:f>
        <x:v>High Value</x:v>
      </x:c>
    </x:row>
    <x:row r="323">
      <x:c r="A323" s="38" t="str">
        <x:v>CUST-321</x:v>
      </x:c>
      <x:c r="B323" s="38" t="n">
        <x:f>'Raw Data'!A323</x:f>
        <x:v>1</x:v>
      </x:c>
      <x:c r="C323" s="38" t="n">
        <x:f>'Raw Data'!B323</x:f>
        <x:v>2</x:v>
      </x:c>
      <x:c r="D323" s="10" t="n">
        <x:f>'Raw Data'!C323</x:f>
        <x:v>1774</x:v>
      </x:c>
      <x:c r="E323" s="10" t="n">
        <x:f>'Raw Data'!D323</x:f>
        <x:v>3696</x:v>
      </x:c>
      <x:c r="F323" s="10" t="n">
        <x:f>'Raw Data'!E323</x:f>
        <x:v>2280</x:v>
      </x:c>
      <x:c r="G323" s="10" t="n">
        <x:f>'Raw Data'!F323</x:f>
        <x:v>514</x:v>
      </x:c>
      <x:c r="H323" s="10" t="n">
        <x:f>'Raw Data'!G323</x:f>
        <x:v>275</x:v>
      </x:c>
      <x:c r="I323" s="10" t="n">
        <x:f>'Raw Data'!H323</x:f>
        <x:v>834</x:v>
      </x:c>
      <x:c r="J323" s="10" t="str">
        <x:f>VLOOKUP(B323,'Lookups &amp; Notes'!$A$4:$B$5,2,FALSE)</x:f>
        <x:v>Horeca</x:v>
      </x:c>
      <x:c r="K323" s="10" t="str">
        <x:f>VLOOKUP(C323,'Lookups &amp; Notes'!$A$8:$B$10,2,FALSE)</x:f>
        <x:v>Oporto</x:v>
      </x:c>
      <x:c r="L323" s="10" t="n">
        <x:f>SUM(D323:I323)</x:f>
        <x:v>9373</x:v>
      </x:c>
      <x:c r="M323" s="39" t="n">
        <x:f>IFERROR(F323/L323,0)</x:f>
        <x:v>0.24325189373733064</x:v>
      </x:c>
      <x:c r="N323" s="38" t="str">
        <x:f>IF(L323&gt;='Lookups &amp; Notes'!$E$4,"High Value","Standard")</x:f>
        <x:v>Standard</x:v>
      </x:c>
    </x:row>
    <x:row r="324">
      <x:c r="A324" s="38" t="str">
        <x:v>CUST-322</x:v>
      </x:c>
      <x:c r="B324" s="38" t="n">
        <x:f>'Raw Data'!A324</x:f>
        <x:v>1</x:v>
      </x:c>
      <x:c r="C324" s="38" t="n">
        <x:f>'Raw Data'!B324</x:f>
        <x:v>2</x:v>
      </x:c>
      <x:c r="D324" s="10" t="n">
        <x:f>'Raw Data'!C324</x:f>
        <x:v>9155</x:v>
      </x:c>
      <x:c r="E324" s="10" t="n">
        <x:f>'Raw Data'!D324</x:f>
        <x:v>1897</x:v>
      </x:c>
      <x:c r="F324" s="10" t="n">
        <x:f>'Raw Data'!E324</x:f>
        <x:v>5167</x:v>
      </x:c>
      <x:c r="G324" s="10" t="n">
        <x:f>'Raw Data'!F324</x:f>
        <x:v>2714</x:v>
      </x:c>
      <x:c r="H324" s="10" t="n">
        <x:f>'Raw Data'!G324</x:f>
        <x:v>228</x:v>
      </x:c>
      <x:c r="I324" s="10" t="n">
        <x:f>'Raw Data'!H324</x:f>
        <x:v>1113</x:v>
      </x:c>
      <x:c r="J324" s="10" t="str">
        <x:f>VLOOKUP(B324,'Lookups &amp; Notes'!$A$4:$B$5,2,FALSE)</x:f>
        <x:v>Horeca</x:v>
      </x:c>
      <x:c r="K324" s="10" t="str">
        <x:f>VLOOKUP(C324,'Lookups &amp; Notes'!$A$8:$B$10,2,FALSE)</x:f>
        <x:v>Oporto</x:v>
      </x:c>
      <x:c r="L324" s="10" t="n">
        <x:f>SUM(D324:I324)</x:f>
        <x:v>20274</x:v>
      </x:c>
      <x:c r="M324" s="39" t="n">
        <x:f>IFERROR(F324/L324,0)</x:f>
        <x:v>0.2548584393804873</x:v>
      </x:c>
      <x:c r="N324" s="38" t="str">
        <x:f>IF(L324&gt;='Lookups &amp; Notes'!$E$4,"High Value","Standard")</x:f>
        <x:v>Standard</x:v>
      </x:c>
    </x:row>
    <x:row r="325">
      <x:c r="A325" s="38" t="str">
        <x:v>CUST-323</x:v>
      </x:c>
      <x:c r="B325" s="38" t="n">
        <x:f>'Raw Data'!A325</x:f>
        <x:v>1</x:v>
      </x:c>
      <x:c r="C325" s="38" t="n">
        <x:f>'Raw Data'!B325</x:f>
        <x:v>2</x:v>
      </x:c>
      <x:c r="D325" s="10" t="n">
        <x:f>'Raw Data'!C325</x:f>
        <x:v>15881</x:v>
      </x:c>
      <x:c r="E325" s="10" t="n">
        <x:f>'Raw Data'!D325</x:f>
        <x:v>713</x:v>
      </x:c>
      <x:c r="F325" s="10" t="n">
        <x:f>'Raw Data'!E325</x:f>
        <x:v>3315</x:v>
      </x:c>
      <x:c r="G325" s="10" t="n">
        <x:f>'Raw Data'!F325</x:f>
        <x:v>3703</x:v>
      </x:c>
      <x:c r="H325" s="10" t="n">
        <x:f>'Raw Data'!G325</x:f>
        <x:v>1470</x:v>
      </x:c>
      <x:c r="I325" s="10" t="n">
        <x:f>'Raw Data'!H325</x:f>
        <x:v>229</x:v>
      </x:c>
      <x:c r="J325" s="10" t="str">
        <x:f>VLOOKUP(B325,'Lookups &amp; Notes'!$A$4:$B$5,2,FALSE)</x:f>
        <x:v>Horeca</x:v>
      </x:c>
      <x:c r="K325" s="10" t="str">
        <x:f>VLOOKUP(C325,'Lookups &amp; Notes'!$A$8:$B$10,2,FALSE)</x:f>
        <x:v>Oporto</x:v>
      </x:c>
      <x:c r="L325" s="10" t="n">
        <x:f>SUM(D325:I325)</x:f>
        <x:v>25311</x:v>
      </x:c>
      <x:c r="M325" s="39" t="n">
        <x:f>IFERROR(F325/L325,0)</x:f>
        <x:v>0.13097072419106318</x:v>
      </x:c>
      <x:c r="N325" s="38" t="str">
        <x:f>IF(L325&gt;='Lookups &amp; Notes'!$E$4,"High Value","Standard")</x:f>
        <x:v>Standard</x:v>
      </x:c>
    </x:row>
    <x:row r="326">
      <x:c r="A326" s="38" t="str">
        <x:v>CUST-324</x:v>
      </x:c>
      <x:c r="B326" s="38" t="n">
        <x:f>'Raw Data'!A326</x:f>
        <x:v>1</x:v>
      </x:c>
      <x:c r="C326" s="38" t="n">
        <x:f>'Raw Data'!B326</x:f>
        <x:v>2</x:v>
      </x:c>
      <x:c r="D326" s="10" t="n">
        <x:f>'Raw Data'!C326</x:f>
        <x:v>13360</x:v>
      </x:c>
      <x:c r="E326" s="10" t="n">
        <x:f>'Raw Data'!D326</x:f>
        <x:v>944</x:v>
      </x:c>
      <x:c r="F326" s="10" t="n">
        <x:f>'Raw Data'!E326</x:f>
        <x:v>11593</x:v>
      </x:c>
      <x:c r="G326" s="10" t="n">
        <x:f>'Raw Data'!F326</x:f>
        <x:v>915</x:v>
      </x:c>
      <x:c r="H326" s="10" t="n">
        <x:f>'Raw Data'!G326</x:f>
        <x:v>1679</x:v>
      </x:c>
      <x:c r="I326" s="10" t="n">
        <x:f>'Raw Data'!H326</x:f>
        <x:v>573</x:v>
      </x:c>
      <x:c r="J326" s="10" t="str">
        <x:f>VLOOKUP(B326,'Lookups &amp; Notes'!$A$4:$B$5,2,FALSE)</x:f>
        <x:v>Horeca</x:v>
      </x:c>
      <x:c r="K326" s="10" t="str">
        <x:f>VLOOKUP(C326,'Lookups &amp; Notes'!$A$8:$B$10,2,FALSE)</x:f>
        <x:v>Oporto</x:v>
      </x:c>
      <x:c r="L326" s="10" t="n">
        <x:f>SUM(D326:I326)</x:f>
        <x:v>29064</x:v>
      </x:c>
      <x:c r="M326" s="39" t="n">
        <x:f>IFERROR(F326/L326,0)</x:f>
        <x:v>0.3988783374621525</x:v>
      </x:c>
      <x:c r="N326" s="38" t="str">
        <x:f>IF(L326&gt;='Lookups &amp; Notes'!$E$4,"High Value","Standard")</x:f>
        <x:v>High Value</x:v>
      </x:c>
    </x:row>
    <x:row r="327">
      <x:c r="A327" s="38" t="str">
        <x:v>CUST-325</x:v>
      </x:c>
      <x:c r="B327" s="38" t="n">
        <x:f>'Raw Data'!A327</x:f>
        <x:v>1</x:v>
      </x:c>
      <x:c r="C327" s="38" t="n">
        <x:f>'Raw Data'!B327</x:f>
        <x:v>2</x:v>
      </x:c>
      <x:c r="D327" s="10" t="n">
        <x:f>'Raw Data'!C327</x:f>
        <x:v>25977</x:v>
      </x:c>
      <x:c r="E327" s="10" t="n">
        <x:f>'Raw Data'!D327</x:f>
        <x:v>3587</x:v>
      </x:c>
      <x:c r="F327" s="10" t="n">
        <x:f>'Raw Data'!E327</x:f>
        <x:v>2464</x:v>
      </x:c>
      <x:c r="G327" s="10" t="n">
        <x:f>'Raw Data'!F327</x:f>
        <x:v>2369</x:v>
      </x:c>
      <x:c r="H327" s="10" t="n">
        <x:f>'Raw Data'!G327</x:f>
        <x:v>140</x:v>
      </x:c>
      <x:c r="I327" s="10" t="n">
        <x:f>'Raw Data'!H327</x:f>
        <x:v>1092</x:v>
      </x:c>
      <x:c r="J327" s="10" t="str">
        <x:f>VLOOKUP(B327,'Lookups &amp; Notes'!$A$4:$B$5,2,FALSE)</x:f>
        <x:v>Horeca</x:v>
      </x:c>
      <x:c r="K327" s="10" t="str">
        <x:f>VLOOKUP(C327,'Lookups &amp; Notes'!$A$8:$B$10,2,FALSE)</x:f>
        <x:v>Oporto</x:v>
      </x:c>
      <x:c r="L327" s="10" t="n">
        <x:f>SUM(D327:I327)</x:f>
        <x:v>35629</x:v>
      </x:c>
      <x:c r="M327" s="39" t="n">
        <x:f>IFERROR(F327/L327,0)</x:f>
        <x:v>0.0691571472676752</x:v>
      </x:c>
      <x:c r="N327" s="38" t="str">
        <x:f>IF(L327&gt;='Lookups &amp; Notes'!$E$4,"High Value","Standard")</x:f>
        <x:v>High Value</x:v>
      </x:c>
    </x:row>
    <x:row r="328">
      <x:c r="A328" s="38" t="str">
        <x:v>CUST-326</x:v>
      </x:c>
      <x:c r="B328" s="38" t="n">
        <x:f>'Raw Data'!A328</x:f>
        <x:v>1</x:v>
      </x:c>
      <x:c r="C328" s="38" t="n">
        <x:f>'Raw Data'!B328</x:f>
        <x:v>2</x:v>
      </x:c>
      <x:c r="D328" s="10" t="n">
        <x:f>'Raw Data'!C328</x:f>
        <x:v>32717</x:v>
      </x:c>
      <x:c r="E328" s="10" t="n">
        <x:f>'Raw Data'!D328</x:f>
        <x:v>16784</x:v>
      </x:c>
      <x:c r="F328" s="10" t="n">
        <x:f>'Raw Data'!E328</x:f>
        <x:v>13626</x:v>
      </x:c>
      <x:c r="G328" s="10" t="n">
        <x:f>'Raw Data'!F328</x:f>
        <x:v>60869</x:v>
      </x:c>
      <x:c r="H328" s="10" t="n">
        <x:f>'Raw Data'!G328</x:f>
        <x:v>1272</x:v>
      </x:c>
      <x:c r="I328" s="10" t="n">
        <x:f>'Raw Data'!H328</x:f>
        <x:v>5609</x:v>
      </x:c>
      <x:c r="J328" s="10" t="str">
        <x:f>VLOOKUP(B328,'Lookups &amp; Notes'!$A$4:$B$5,2,FALSE)</x:f>
        <x:v>Horeca</x:v>
      </x:c>
      <x:c r="K328" s="10" t="str">
        <x:f>VLOOKUP(C328,'Lookups &amp; Notes'!$A$8:$B$10,2,FALSE)</x:f>
        <x:v>Oporto</x:v>
      </x:c>
      <x:c r="L328" s="10" t="n">
        <x:f>SUM(D328:I328)</x:f>
        <x:v>130877</x:v>
      </x:c>
      <x:c r="M328" s="39" t="n">
        <x:f>IFERROR(F328/L328,0)</x:f>
        <x:v>0.10411302215056885</x:v>
      </x:c>
      <x:c r="N328" s="38" t="str">
        <x:f>IF(L328&gt;='Lookups &amp; Notes'!$E$4,"High Value","Standard")</x:f>
        <x:v>High Value</x:v>
      </x:c>
    </x:row>
    <x:row r="329">
      <x:c r="A329" s="38" t="str">
        <x:v>CUST-327</x:v>
      </x:c>
      <x:c r="B329" s="38" t="n">
        <x:f>'Raw Data'!A329</x:f>
        <x:v>1</x:v>
      </x:c>
      <x:c r="C329" s="38" t="n">
        <x:f>'Raw Data'!B329</x:f>
        <x:v>2</x:v>
      </x:c>
      <x:c r="D329" s="10" t="n">
        <x:f>'Raw Data'!C329</x:f>
        <x:v>4414</x:v>
      </x:c>
      <x:c r="E329" s="10" t="n">
        <x:f>'Raw Data'!D329</x:f>
        <x:v>1610</x:v>
      </x:c>
      <x:c r="F329" s="10" t="n">
        <x:f>'Raw Data'!E329</x:f>
        <x:v>1431</x:v>
      </x:c>
      <x:c r="G329" s="10" t="n">
        <x:f>'Raw Data'!F329</x:f>
        <x:v>3498</x:v>
      </x:c>
      <x:c r="H329" s="10" t="n">
        <x:f>'Raw Data'!G329</x:f>
        <x:v>387</x:v>
      </x:c>
      <x:c r="I329" s="10" t="n">
        <x:f>'Raw Data'!H329</x:f>
        <x:v>834</x:v>
      </x:c>
      <x:c r="J329" s="10" t="str">
        <x:f>VLOOKUP(B329,'Lookups &amp; Notes'!$A$4:$B$5,2,FALSE)</x:f>
        <x:v>Horeca</x:v>
      </x:c>
      <x:c r="K329" s="10" t="str">
        <x:f>VLOOKUP(C329,'Lookups &amp; Notes'!$A$8:$B$10,2,FALSE)</x:f>
        <x:v>Oporto</x:v>
      </x:c>
      <x:c r="L329" s="10" t="n">
        <x:f>SUM(D329:I329)</x:f>
        <x:v>12174</x:v>
      </x:c>
      <x:c r="M329" s="39" t="n">
        <x:f>IFERROR(F329/L329,0)</x:f>
        <x:v>0.11754558896007886</x:v>
      </x:c>
      <x:c r="N329" s="38" t="str">
        <x:f>IF(L329&gt;='Lookups &amp; Notes'!$E$4,"High Value","Standard")</x:f>
        <x:v>Standard</x:v>
      </x:c>
    </x:row>
    <x:row r="330">
      <x:c r="A330" s="38" t="str">
        <x:v>CUST-328</x:v>
      </x:c>
      <x:c r="B330" s="38" t="n">
        <x:f>'Raw Data'!A330</x:f>
        <x:v>1</x:v>
      </x:c>
      <x:c r="C330" s="38" t="n">
        <x:f>'Raw Data'!B330</x:f>
        <x:v>2</x:v>
      </x:c>
      <x:c r="D330" s="10" t="n">
        <x:f>'Raw Data'!C330</x:f>
        <x:v>542</x:v>
      </x:c>
      <x:c r="E330" s="10" t="n">
        <x:f>'Raw Data'!D330</x:f>
        <x:v>899</x:v>
      </x:c>
      <x:c r="F330" s="10" t="n">
        <x:f>'Raw Data'!E330</x:f>
        <x:v>1664</x:v>
      </x:c>
      <x:c r="G330" s="10" t="n">
        <x:f>'Raw Data'!F330</x:f>
        <x:v>414</x:v>
      </x:c>
      <x:c r="H330" s="10" t="n">
        <x:f>'Raw Data'!G330</x:f>
        <x:v>88</x:v>
      </x:c>
      <x:c r="I330" s="10" t="n">
        <x:f>'Raw Data'!H330</x:f>
        <x:v>522</x:v>
      </x:c>
      <x:c r="J330" s="10" t="str">
        <x:f>VLOOKUP(B330,'Lookups &amp; Notes'!$A$4:$B$5,2,FALSE)</x:f>
        <x:v>Horeca</x:v>
      </x:c>
      <x:c r="K330" s="10" t="str">
        <x:f>VLOOKUP(C330,'Lookups &amp; Notes'!$A$8:$B$10,2,FALSE)</x:f>
        <x:v>Oporto</x:v>
      </x:c>
      <x:c r="L330" s="10" t="n">
        <x:f>SUM(D330:I330)</x:f>
        <x:v>4129</x:v>
      </x:c>
      <x:c r="M330" s="39" t="n">
        <x:f>IFERROR(F330/L330,0)</x:f>
        <x:v>0.40300314846209734</x:v>
      </x:c>
      <x:c r="N330" s="38" t="str">
        <x:f>IF(L330&gt;='Lookups &amp; Notes'!$E$4,"High Value","Standard")</x:f>
        <x:v>Standard</x:v>
      </x:c>
    </x:row>
    <x:row r="331">
      <x:c r="A331" s="38" t="str">
        <x:v>CUST-329</x:v>
      </x:c>
      <x:c r="B331" s="38" t="n">
        <x:f>'Raw Data'!A331</x:f>
        <x:v>1</x:v>
      </x:c>
      <x:c r="C331" s="38" t="n">
        <x:f>'Raw Data'!B331</x:f>
        <x:v>2</x:v>
      </x:c>
      <x:c r="D331" s="10" t="n">
        <x:f>'Raw Data'!C331</x:f>
        <x:v>16933</x:v>
      </x:c>
      <x:c r="E331" s="10" t="n">
        <x:f>'Raw Data'!D331</x:f>
        <x:v>2209</x:v>
      </x:c>
      <x:c r="F331" s="10" t="n">
        <x:f>'Raw Data'!E331</x:f>
        <x:v>3389</x:v>
      </x:c>
      <x:c r="G331" s="10" t="n">
        <x:f>'Raw Data'!F331</x:f>
        <x:v>7849</x:v>
      </x:c>
      <x:c r="H331" s="10" t="n">
        <x:f>'Raw Data'!G331</x:f>
        <x:v>210</x:v>
      </x:c>
      <x:c r="I331" s="10" t="n">
        <x:f>'Raw Data'!H331</x:f>
        <x:v>1534</x:v>
      </x:c>
      <x:c r="J331" s="10" t="str">
        <x:f>VLOOKUP(B331,'Lookups &amp; Notes'!$A$4:$B$5,2,FALSE)</x:f>
        <x:v>Horeca</x:v>
      </x:c>
      <x:c r="K331" s="10" t="str">
        <x:f>VLOOKUP(C331,'Lookups &amp; Notes'!$A$8:$B$10,2,FALSE)</x:f>
        <x:v>Oporto</x:v>
      </x:c>
      <x:c r="L331" s="10" t="n">
        <x:f>SUM(D331:I331)</x:f>
        <x:v>32124</x:v>
      </x:c>
      <x:c r="M331" s="39" t="n">
        <x:f>IFERROR(F331/L331,0)</x:f>
        <x:v>0.10549744739135848</x:v>
      </x:c>
      <x:c r="N331" s="38" t="str">
        <x:f>IF(L331&gt;='Lookups &amp; Notes'!$E$4,"High Value","Standard")</x:f>
        <x:v>High Value</x:v>
      </x:c>
    </x:row>
    <x:row r="332">
      <x:c r="A332" s="38" t="str">
        <x:v>CUST-330</x:v>
      </x:c>
      <x:c r="B332" s="38" t="n">
        <x:f>'Raw Data'!A332</x:f>
        <x:v>1</x:v>
      </x:c>
      <x:c r="C332" s="38" t="n">
        <x:f>'Raw Data'!B332</x:f>
        <x:v>2</x:v>
      </x:c>
      <x:c r="D332" s="10" t="n">
        <x:f>'Raw Data'!C332</x:f>
        <x:v>5113</x:v>
      </x:c>
      <x:c r="E332" s="10" t="n">
        <x:f>'Raw Data'!D332</x:f>
        <x:v>1486</x:v>
      </x:c>
      <x:c r="F332" s="10" t="n">
        <x:f>'Raw Data'!E332</x:f>
        <x:v>4583</x:v>
      </x:c>
      <x:c r="G332" s="10" t="n">
        <x:f>'Raw Data'!F332</x:f>
        <x:v>5127</x:v>
      </x:c>
      <x:c r="H332" s="10" t="n">
        <x:f>'Raw Data'!G332</x:f>
        <x:v>492</x:v>
      </x:c>
      <x:c r="I332" s="10" t="n">
        <x:f>'Raw Data'!H332</x:f>
        <x:v>739</x:v>
      </x:c>
      <x:c r="J332" s="10" t="str">
        <x:f>VLOOKUP(B332,'Lookups &amp; Notes'!$A$4:$B$5,2,FALSE)</x:f>
        <x:v>Horeca</x:v>
      </x:c>
      <x:c r="K332" s="10" t="str">
        <x:f>VLOOKUP(C332,'Lookups &amp; Notes'!$A$8:$B$10,2,FALSE)</x:f>
        <x:v>Oporto</x:v>
      </x:c>
      <x:c r="L332" s="10" t="n">
        <x:f>SUM(D332:I332)</x:f>
        <x:v>17540</x:v>
      </x:c>
      <x:c r="M332" s="39" t="n">
        <x:f>IFERROR(F332/L332,0)</x:f>
        <x:v>0.2612884834663626</x:v>
      </x:c>
      <x:c r="N332" s="38" t="str">
        <x:f>IF(L332&gt;='Lookups &amp; Notes'!$E$4,"High Value","Standard")</x:f>
        <x:v>Standard</x:v>
      </x:c>
    </x:row>
    <x:row r="333">
      <x:c r="A333" s="38" t="str">
        <x:v>CUST-331</x:v>
      </x:c>
      <x:c r="B333" s="38" t="n">
        <x:f>'Raw Data'!A333</x:f>
        <x:v>1</x:v>
      </x:c>
      <x:c r="C333" s="38" t="n">
        <x:f>'Raw Data'!B333</x:f>
        <x:v>2</x:v>
      </x:c>
      <x:c r="D333" s="10" t="n">
        <x:f>'Raw Data'!C333</x:f>
        <x:v>9790</x:v>
      </x:c>
      <x:c r="E333" s="10" t="n">
        <x:f>'Raw Data'!D333</x:f>
        <x:v>1786</x:v>
      </x:c>
      <x:c r="F333" s="10" t="n">
        <x:f>'Raw Data'!E333</x:f>
        <x:v>5109</x:v>
      </x:c>
      <x:c r="G333" s="10" t="n">
        <x:f>'Raw Data'!F333</x:f>
        <x:v>3570</x:v>
      </x:c>
      <x:c r="H333" s="10" t="n">
        <x:f>'Raw Data'!G333</x:f>
        <x:v>182</x:v>
      </x:c>
      <x:c r="I333" s="10" t="n">
        <x:f>'Raw Data'!H333</x:f>
        <x:v>1043</x:v>
      </x:c>
      <x:c r="J333" s="10" t="str">
        <x:f>VLOOKUP(B333,'Lookups &amp; Notes'!$A$4:$B$5,2,FALSE)</x:f>
        <x:v>Horeca</x:v>
      </x:c>
      <x:c r="K333" s="10" t="str">
        <x:f>VLOOKUP(C333,'Lookups &amp; Notes'!$A$8:$B$10,2,FALSE)</x:f>
        <x:v>Oporto</x:v>
      </x:c>
      <x:c r="L333" s="10" t="n">
        <x:f>SUM(D333:I333)</x:f>
        <x:v>21480</x:v>
      </x:c>
      <x:c r="M333" s="39" t="n">
        <x:f>IFERROR(F333/L333,0)</x:f>
        <x:v>0.23784916201117318</x:v>
      </x:c>
      <x:c r="N333" s="38" t="str">
        <x:f>IF(L333&gt;='Lookups &amp; Notes'!$E$4,"High Value","Standard")</x:f>
        <x:v>Standard</x:v>
      </x:c>
    </x:row>
    <x:row r="334">
      <x:c r="A334" s="38" t="str">
        <x:v>CUST-332</x:v>
      </x:c>
      <x:c r="B334" s="38" t="n">
        <x:f>'Raw Data'!A334</x:f>
        <x:v>2</x:v>
      </x:c>
      <x:c r="C334" s="38" t="n">
        <x:f>'Raw Data'!B334</x:f>
        <x:v>2</x:v>
      </x:c>
      <x:c r="D334" s="10" t="n">
        <x:f>'Raw Data'!C334</x:f>
        <x:v>11223</x:v>
      </x:c>
      <x:c r="E334" s="10" t="n">
        <x:f>'Raw Data'!D334</x:f>
        <x:v>14881</x:v>
      </x:c>
      <x:c r="F334" s="10" t="n">
        <x:f>'Raw Data'!E334</x:f>
        <x:v>26839</x:v>
      </x:c>
      <x:c r="G334" s="10" t="n">
        <x:f>'Raw Data'!F334</x:f>
        <x:v>1234</x:v>
      </x:c>
      <x:c r="H334" s="10" t="n">
        <x:f>'Raw Data'!G334</x:f>
        <x:v>9606</x:v>
      </x:c>
      <x:c r="I334" s="10" t="n">
        <x:f>'Raw Data'!H334</x:f>
        <x:v>1102</x:v>
      </x:c>
      <x:c r="J334" s="10" t="str">
        <x:f>VLOOKUP(B334,'Lookups &amp; Notes'!$A$4:$B$5,2,FALSE)</x:f>
        <x:v>Retail</x:v>
      </x:c>
      <x:c r="K334" s="10" t="str">
        <x:f>VLOOKUP(C334,'Lookups &amp; Notes'!$A$8:$B$10,2,FALSE)</x:f>
        <x:v>Oporto</x:v>
      </x:c>
      <x:c r="L334" s="10" t="n">
        <x:f>SUM(D334:I334)</x:f>
        <x:v>64885</x:v>
      </x:c>
      <x:c r="M334" s="39" t="n">
        <x:f>IFERROR(F334/L334,0)</x:f>
        <x:v>0.4136395160668876</x:v>
      </x:c>
      <x:c r="N334" s="38" t="str">
        <x:f>IF(L334&gt;='Lookups &amp; Notes'!$E$4,"High Value","Standard")</x:f>
        <x:v>High Value</x:v>
      </x:c>
    </x:row>
    <x:row r="335">
      <x:c r="A335" s="38" t="str">
        <x:v>CUST-333</x:v>
      </x:c>
      <x:c r="B335" s="38" t="n">
        <x:f>'Raw Data'!A335</x:f>
        <x:v>1</x:v>
      </x:c>
      <x:c r="C335" s="38" t="n">
        <x:f>'Raw Data'!B335</x:f>
        <x:v>2</x:v>
      </x:c>
      <x:c r="D335" s="10" t="n">
        <x:f>'Raw Data'!C335</x:f>
        <x:v>22321</x:v>
      </x:c>
      <x:c r="E335" s="10" t="n">
        <x:f>'Raw Data'!D335</x:f>
        <x:v>3216</x:v>
      </x:c>
      <x:c r="F335" s="10" t="n">
        <x:f>'Raw Data'!E335</x:f>
        <x:v>1447</x:v>
      </x:c>
      <x:c r="G335" s="10" t="n">
        <x:f>'Raw Data'!F335</x:f>
        <x:v>2208</x:v>
      </x:c>
      <x:c r="H335" s="10" t="n">
        <x:f>'Raw Data'!G335</x:f>
        <x:v>178</x:v>
      </x:c>
      <x:c r="I335" s="10" t="n">
        <x:f>'Raw Data'!H335</x:f>
        <x:v>2602</x:v>
      </x:c>
      <x:c r="J335" s="10" t="str">
        <x:f>VLOOKUP(B335,'Lookups &amp; Notes'!$A$4:$B$5,2,FALSE)</x:f>
        <x:v>Horeca</x:v>
      </x:c>
      <x:c r="K335" s="10" t="str">
        <x:f>VLOOKUP(C335,'Lookups &amp; Notes'!$A$8:$B$10,2,FALSE)</x:f>
        <x:v>Oporto</x:v>
      </x:c>
      <x:c r="L335" s="10" t="n">
        <x:f>SUM(D335:I335)</x:f>
        <x:v>31972</x:v>
      </x:c>
      <x:c r="M335" s="39" t="n">
        <x:f>IFERROR(F335/L335,0)</x:f>
        <x:v>0.04525835105717503</x:v>
      </x:c>
      <x:c r="N335" s="38" t="str">
        <x:f>IF(L335&gt;='Lookups &amp; Notes'!$E$4,"High Value","Standard")</x:f>
        <x:v>High Value</x:v>
      </x:c>
    </x:row>
    <x:row r="336">
      <x:c r="A336" s="38" t="str">
        <x:v>CUST-334</x:v>
      </x:c>
      <x:c r="B336" s="38" t="n">
        <x:f>'Raw Data'!A336</x:f>
        <x:v>2</x:v>
      </x:c>
      <x:c r="C336" s="38" t="n">
        <x:f>'Raw Data'!B336</x:f>
        <x:v>2</x:v>
      </x:c>
      <x:c r="D336" s="10" t="n">
        <x:f>'Raw Data'!C336</x:f>
        <x:v>8565</x:v>
      </x:c>
      <x:c r="E336" s="10" t="n">
        <x:f>'Raw Data'!D336</x:f>
        <x:v>4980</x:v>
      </x:c>
      <x:c r="F336" s="10" t="n">
        <x:f>'Raw Data'!E336</x:f>
        <x:v>67298</x:v>
      </x:c>
      <x:c r="G336" s="10" t="n">
        <x:f>'Raw Data'!F336</x:f>
        <x:v>131</x:v>
      </x:c>
      <x:c r="H336" s="10" t="n">
        <x:f>'Raw Data'!G336</x:f>
        <x:v>38102</x:v>
      </x:c>
      <x:c r="I336" s="10" t="n">
        <x:f>'Raw Data'!H336</x:f>
        <x:v>1215</x:v>
      </x:c>
      <x:c r="J336" s="10" t="str">
        <x:f>VLOOKUP(B336,'Lookups &amp; Notes'!$A$4:$B$5,2,FALSE)</x:f>
        <x:v>Retail</x:v>
      </x:c>
      <x:c r="K336" s="10" t="str">
        <x:f>VLOOKUP(C336,'Lookups &amp; Notes'!$A$8:$B$10,2,FALSE)</x:f>
        <x:v>Oporto</x:v>
      </x:c>
      <x:c r="L336" s="10" t="n">
        <x:f>SUM(D336:I336)</x:f>
        <x:v>120291</x:v>
      </x:c>
      <x:c r="M336" s="39" t="n">
        <x:f>IFERROR(F336/L336,0)</x:f>
        <x:v>0.5594599762243226</x:v>
      </x:c>
      <x:c r="N336" s="38" t="str">
        <x:f>IF(L336&gt;='Lookups &amp; Notes'!$E$4,"High Value","Standard")</x:f>
        <x:v>High Value</x:v>
      </x:c>
    </x:row>
    <x:row r="337">
      <x:c r="A337" s="38" t="str">
        <x:v>CUST-335</x:v>
      </x:c>
      <x:c r="B337" s="38" t="n">
        <x:f>'Raw Data'!A337</x:f>
        <x:v>2</x:v>
      </x:c>
      <x:c r="C337" s="38" t="n">
        <x:f>'Raw Data'!B337</x:f>
        <x:v>2</x:v>
      </x:c>
      <x:c r="D337" s="10" t="n">
        <x:f>'Raw Data'!C337</x:f>
        <x:v>16823</x:v>
      </x:c>
      <x:c r="E337" s="10" t="n">
        <x:f>'Raw Data'!D337</x:f>
        <x:v>928</x:v>
      </x:c>
      <x:c r="F337" s="10" t="n">
        <x:f>'Raw Data'!E337</x:f>
        <x:v>2743</x:v>
      </x:c>
      <x:c r="G337" s="10" t="n">
        <x:f>'Raw Data'!F337</x:f>
        <x:v>11559</x:v>
      </x:c>
      <x:c r="H337" s="10" t="n">
        <x:f>'Raw Data'!G337</x:f>
        <x:v>332</x:v>
      </x:c>
      <x:c r="I337" s="10" t="n">
        <x:f>'Raw Data'!H337</x:f>
        <x:v>3486</x:v>
      </x:c>
      <x:c r="J337" s="10" t="str">
        <x:f>VLOOKUP(B337,'Lookups &amp; Notes'!$A$4:$B$5,2,FALSE)</x:f>
        <x:v>Retail</x:v>
      </x:c>
      <x:c r="K337" s="10" t="str">
        <x:f>VLOOKUP(C337,'Lookups &amp; Notes'!$A$8:$B$10,2,FALSE)</x:f>
        <x:v>Oporto</x:v>
      </x:c>
      <x:c r="L337" s="10" t="n">
        <x:f>SUM(D337:I337)</x:f>
        <x:v>35871</x:v>
      </x:c>
      <x:c r="M337" s="39" t="n">
        <x:f>IFERROR(F337/L337,0)</x:f>
        <x:v>0.07646845641325863</x:v>
      </x:c>
      <x:c r="N337" s="38" t="str">
        <x:f>IF(L337&gt;='Lookups &amp; Notes'!$E$4,"High Value","Standard")</x:f>
        <x:v>High Value</x:v>
      </x:c>
    </x:row>
    <x:row r="338">
      <x:c r="A338" s="38" t="str">
        <x:v>CUST-336</x:v>
      </x:c>
      <x:c r="B338" s="38" t="n">
        <x:f>'Raw Data'!A338</x:f>
        <x:v>2</x:v>
      </x:c>
      <x:c r="C338" s="38" t="n">
        <x:f>'Raw Data'!B338</x:f>
        <x:v>2</x:v>
      </x:c>
      <x:c r="D338" s="10" t="n">
        <x:f>'Raw Data'!C338</x:f>
        <x:v>27082</x:v>
      </x:c>
      <x:c r="E338" s="10" t="n">
        <x:f>'Raw Data'!D338</x:f>
        <x:v>6817</x:v>
      </x:c>
      <x:c r="F338" s="10" t="n">
        <x:f>'Raw Data'!E338</x:f>
        <x:v>10790</x:v>
      </x:c>
      <x:c r="G338" s="10" t="n">
        <x:f>'Raw Data'!F338</x:f>
        <x:v>1365</x:v>
      </x:c>
      <x:c r="H338" s="10" t="n">
        <x:f>'Raw Data'!G338</x:f>
        <x:v>4111</x:v>
      </x:c>
      <x:c r="I338" s="10" t="n">
        <x:f>'Raw Data'!H338</x:f>
        <x:v>2139</x:v>
      </x:c>
      <x:c r="J338" s="10" t="str">
        <x:f>VLOOKUP(B338,'Lookups &amp; Notes'!$A$4:$B$5,2,FALSE)</x:f>
        <x:v>Retail</x:v>
      </x:c>
      <x:c r="K338" s="10" t="str">
        <x:f>VLOOKUP(C338,'Lookups &amp; Notes'!$A$8:$B$10,2,FALSE)</x:f>
        <x:v>Oporto</x:v>
      </x:c>
      <x:c r="L338" s="10" t="n">
        <x:f>SUM(D338:I338)</x:f>
        <x:v>52304</x:v>
      </x:c>
      <x:c r="M338" s="39" t="n">
        <x:f>IFERROR(F338/L338,0)</x:f>
        <x:v>0.20629397369226063</x:v>
      </x:c>
      <x:c r="N338" s="38" t="str">
        <x:f>IF(L338&gt;='Lookups &amp; Notes'!$E$4,"High Value","Standard")</x:f>
        <x:v>High Value</x:v>
      </x:c>
    </x:row>
    <x:row r="339">
      <x:c r="A339" s="38" t="str">
        <x:v>CUST-337</x:v>
      </x:c>
      <x:c r="B339" s="38" t="n">
        <x:f>'Raw Data'!A339</x:f>
        <x:v>1</x:v>
      </x:c>
      <x:c r="C339" s="38" t="n">
        <x:f>'Raw Data'!B339</x:f>
        <x:v>2</x:v>
      </x:c>
      <x:c r="D339" s="10" t="n">
        <x:f>'Raw Data'!C339</x:f>
        <x:v>13970</x:v>
      </x:c>
      <x:c r="E339" s="10" t="n">
        <x:f>'Raw Data'!D339</x:f>
        <x:v>1511</x:v>
      </x:c>
      <x:c r="F339" s="10" t="n">
        <x:f>'Raw Data'!E339</x:f>
        <x:v>1330</x:v>
      </x:c>
      <x:c r="G339" s="10" t="n">
        <x:f>'Raw Data'!F339</x:f>
        <x:v>650</x:v>
      </x:c>
      <x:c r="H339" s="10" t="n">
        <x:f>'Raw Data'!G339</x:f>
        <x:v>146</x:v>
      </x:c>
      <x:c r="I339" s="10" t="n">
        <x:f>'Raw Data'!H339</x:f>
        <x:v>778</x:v>
      </x:c>
      <x:c r="J339" s="10" t="str">
        <x:f>VLOOKUP(B339,'Lookups &amp; Notes'!$A$4:$B$5,2,FALSE)</x:f>
        <x:v>Horeca</x:v>
      </x:c>
      <x:c r="K339" s="10" t="str">
        <x:f>VLOOKUP(C339,'Lookups &amp; Notes'!$A$8:$B$10,2,FALSE)</x:f>
        <x:v>Oporto</x:v>
      </x:c>
      <x:c r="L339" s="10" t="n">
        <x:f>SUM(D339:I339)</x:f>
        <x:v>18385</x:v>
      </x:c>
      <x:c r="M339" s="39" t="n">
        <x:f>IFERROR(F339/L339,0)</x:f>
        <x:v>0.07234158281207506</x:v>
      </x:c>
      <x:c r="N339" s="38" t="str">
        <x:f>IF(L339&gt;='Lookups &amp; Notes'!$E$4,"High Value","Standard")</x:f>
        <x:v>Standard</x:v>
      </x:c>
    </x:row>
    <x:row r="340">
      <x:c r="A340" s="38" t="str">
        <x:v>CUST-338</x:v>
      </x:c>
      <x:c r="B340" s="38" t="n">
        <x:f>'Raw Data'!A340</x:f>
        <x:v>1</x:v>
      </x:c>
      <x:c r="C340" s="38" t="n">
        <x:f>'Raw Data'!B340</x:f>
        <x:v>2</x:v>
      </x:c>
      <x:c r="D340" s="10" t="n">
        <x:f>'Raw Data'!C340</x:f>
        <x:v>9351</x:v>
      </x:c>
      <x:c r="E340" s="10" t="n">
        <x:f>'Raw Data'!D340</x:f>
        <x:v>1347</x:v>
      </x:c>
      <x:c r="F340" s="10" t="n">
        <x:f>'Raw Data'!E340</x:f>
        <x:v>2611</x:v>
      </x:c>
      <x:c r="G340" s="10" t="n">
        <x:f>'Raw Data'!F340</x:f>
        <x:v>8170</x:v>
      </x:c>
      <x:c r="H340" s="10" t="n">
        <x:f>'Raw Data'!G340</x:f>
        <x:v>442</x:v>
      </x:c>
      <x:c r="I340" s="10" t="n">
        <x:f>'Raw Data'!H340</x:f>
        <x:v>868</x:v>
      </x:c>
      <x:c r="J340" s="10" t="str">
        <x:f>VLOOKUP(B340,'Lookups &amp; Notes'!$A$4:$B$5,2,FALSE)</x:f>
        <x:v>Horeca</x:v>
      </x:c>
      <x:c r="K340" s="10" t="str">
        <x:f>VLOOKUP(C340,'Lookups &amp; Notes'!$A$8:$B$10,2,FALSE)</x:f>
        <x:v>Oporto</x:v>
      </x:c>
      <x:c r="L340" s="10" t="n">
        <x:f>SUM(D340:I340)</x:f>
        <x:v>22789</x:v>
      </x:c>
      <x:c r="M340" s="39" t="n">
        <x:f>IFERROR(F340/L340,0)</x:f>
        <x:v>0.11457282022028172</x:v>
      </x:c>
      <x:c r="N340" s="38" t="str">
        <x:f>IF(L340&gt;='Lookups &amp; Notes'!$E$4,"High Value","Standard")</x:f>
        <x:v>Standard</x:v>
      </x:c>
    </x:row>
    <x:row r="341">
      <x:c r="A341" s="38" t="str">
        <x:v>CUST-339</x:v>
      </x:c>
      <x:c r="B341" s="38" t="n">
        <x:f>'Raw Data'!A341</x:f>
        <x:v>1</x:v>
      </x:c>
      <x:c r="C341" s="38" t="n">
        <x:f>'Raw Data'!B341</x:f>
        <x:v>2</x:v>
      </x:c>
      <x:c r="D341" s="10" t="n">
        <x:f>'Raw Data'!C341</x:f>
        <x:v>3</x:v>
      </x:c>
      <x:c r="E341" s="10" t="n">
        <x:f>'Raw Data'!D341</x:f>
        <x:v>333</x:v>
      </x:c>
      <x:c r="F341" s="10" t="n">
        <x:f>'Raw Data'!E341</x:f>
        <x:v>7021</x:v>
      </x:c>
      <x:c r="G341" s="10" t="n">
        <x:f>'Raw Data'!F341</x:f>
        <x:v>15601</x:v>
      </x:c>
      <x:c r="H341" s="10" t="n">
        <x:f>'Raw Data'!G341</x:f>
        <x:v>15</x:v>
      </x:c>
      <x:c r="I341" s="10" t="n">
        <x:f>'Raw Data'!H341</x:f>
        <x:v>550</x:v>
      </x:c>
      <x:c r="J341" s="10" t="str">
        <x:f>VLOOKUP(B341,'Lookups &amp; Notes'!$A$4:$B$5,2,FALSE)</x:f>
        <x:v>Horeca</x:v>
      </x:c>
      <x:c r="K341" s="10" t="str">
        <x:f>VLOOKUP(C341,'Lookups &amp; Notes'!$A$8:$B$10,2,FALSE)</x:f>
        <x:v>Oporto</x:v>
      </x:c>
      <x:c r="L341" s="10" t="n">
        <x:f>SUM(D341:I341)</x:f>
        <x:v>23523</x:v>
      </x:c>
      <x:c r="M341" s="39" t="n">
        <x:f>IFERROR(F341/L341,0)</x:f>
        <x:v>0.29847383411979767</x:v>
      </x:c>
      <x:c r="N341" s="38" t="str">
        <x:f>IF(L341&gt;='Lookups &amp; Notes'!$E$4,"High Value","Standard")</x:f>
        <x:v>Standard</x:v>
      </x:c>
    </x:row>
    <x:row r="342">
      <x:c r="A342" s="38" t="str">
        <x:v>CUST-340</x:v>
      </x:c>
      <x:c r="B342" s="38" t="n">
        <x:f>'Raw Data'!A342</x:f>
        <x:v>1</x:v>
      </x:c>
      <x:c r="C342" s="38" t="n">
        <x:f>'Raw Data'!B342</x:f>
        <x:v>2</x:v>
      </x:c>
      <x:c r="D342" s="10" t="n">
        <x:f>'Raw Data'!C342</x:f>
        <x:v>2617</x:v>
      </x:c>
      <x:c r="E342" s="10" t="n">
        <x:f>'Raw Data'!D342</x:f>
        <x:v>1188</x:v>
      </x:c>
      <x:c r="F342" s="10" t="n">
        <x:f>'Raw Data'!E342</x:f>
        <x:v>5332</x:v>
      </x:c>
      <x:c r="G342" s="10" t="n">
        <x:f>'Raw Data'!F342</x:f>
        <x:v>9584</x:v>
      </x:c>
      <x:c r="H342" s="10" t="n">
        <x:f>'Raw Data'!G342</x:f>
        <x:v>573</x:v>
      </x:c>
      <x:c r="I342" s="10" t="n">
        <x:f>'Raw Data'!H342</x:f>
        <x:v>1942</x:v>
      </x:c>
      <x:c r="J342" s="10" t="str">
        <x:f>VLOOKUP(B342,'Lookups &amp; Notes'!$A$4:$B$5,2,FALSE)</x:f>
        <x:v>Horeca</x:v>
      </x:c>
      <x:c r="K342" s="10" t="str">
        <x:f>VLOOKUP(C342,'Lookups &amp; Notes'!$A$8:$B$10,2,FALSE)</x:f>
        <x:v>Oporto</x:v>
      </x:c>
      <x:c r="L342" s="10" t="n">
        <x:f>SUM(D342:I342)</x:f>
        <x:v>21236</x:v>
      </x:c>
      <x:c r="M342" s="39" t="n">
        <x:f>IFERROR(F342/L342,0)</x:f>
        <x:v>0.2510830664908646</x:v>
      </x:c>
      <x:c r="N342" s="38" t="str">
        <x:f>IF(L342&gt;='Lookups &amp; Notes'!$E$4,"High Value","Standard")</x:f>
        <x:v>Standard</x:v>
      </x:c>
    </x:row>
    <x:row r="343">
      <x:c r="A343" s="38" t="str">
        <x:v>CUST-341</x:v>
      </x:c>
      <x:c r="B343" s="38" t="n">
        <x:f>'Raw Data'!A343</x:f>
        <x:v>2</x:v>
      </x:c>
      <x:c r="C343" s="38" t="n">
        <x:f>'Raw Data'!B343</x:f>
        <x:v>3</x:v>
      </x:c>
      <x:c r="D343" s="10" t="n">
        <x:f>'Raw Data'!C343</x:f>
        <x:v>381</x:v>
      </x:c>
      <x:c r="E343" s="10" t="n">
        <x:f>'Raw Data'!D343</x:f>
        <x:v>4025</x:v>
      </x:c>
      <x:c r="F343" s="10" t="n">
        <x:f>'Raw Data'!E343</x:f>
        <x:v>9670</x:v>
      </x:c>
      <x:c r="G343" s="10" t="n">
        <x:f>'Raw Data'!F343</x:f>
        <x:v>388</x:v>
      </x:c>
      <x:c r="H343" s="10" t="n">
        <x:f>'Raw Data'!G343</x:f>
        <x:v>7271</x:v>
      </x:c>
      <x:c r="I343" s="10" t="n">
        <x:f>'Raw Data'!H343</x:f>
        <x:v>1371</x:v>
      </x:c>
      <x:c r="J343" s="10" t="str">
        <x:f>VLOOKUP(B343,'Lookups &amp; Notes'!$A$4:$B$5,2,FALSE)</x:f>
        <x:v>Retail</x:v>
      </x:c>
      <x:c r="K343" s="10" t="str">
        <x:f>VLOOKUP(C343,'Lookups &amp; Notes'!$A$8:$B$10,2,FALSE)</x:f>
        <x:v>Other</x:v>
      </x:c>
      <x:c r="L343" s="10" t="n">
        <x:f>SUM(D343:I343)</x:f>
        <x:v>23106</x:v>
      </x:c>
      <x:c r="M343" s="39" t="n">
        <x:f>IFERROR(F343/L343,0)</x:f>
        <x:v>0.41850601575348395</x:v>
      </x:c>
      <x:c r="N343" s="38" t="str">
        <x:f>IF(L343&gt;='Lookups &amp; Notes'!$E$4,"High Value","Standard")</x:f>
        <x:v>Standard</x:v>
      </x:c>
    </x:row>
    <x:row r="344">
      <x:c r="A344" s="38" t="str">
        <x:v>CUST-342</x:v>
      </x:c>
      <x:c r="B344" s="38" t="n">
        <x:f>'Raw Data'!A344</x:f>
        <x:v>2</x:v>
      </x:c>
      <x:c r="C344" s="38" t="n">
        <x:f>'Raw Data'!B344</x:f>
        <x:v>3</x:v>
      </x:c>
      <x:c r="D344" s="10" t="n">
        <x:f>'Raw Data'!C344</x:f>
        <x:v>2320</x:v>
      </x:c>
      <x:c r="E344" s="10" t="n">
        <x:f>'Raw Data'!D344</x:f>
        <x:v>5763</x:v>
      </x:c>
      <x:c r="F344" s="10" t="n">
        <x:f>'Raw Data'!E344</x:f>
        <x:v>11238</x:v>
      </x:c>
      <x:c r="G344" s="10" t="n">
        <x:f>'Raw Data'!F344</x:f>
        <x:v>767</x:v>
      </x:c>
      <x:c r="H344" s="10" t="n">
        <x:f>'Raw Data'!G344</x:f>
        <x:v>5162</x:v>
      </x:c>
      <x:c r="I344" s="10" t="n">
        <x:f>'Raw Data'!H344</x:f>
        <x:v>2158</x:v>
      </x:c>
      <x:c r="J344" s="10" t="str">
        <x:f>VLOOKUP(B344,'Lookups &amp; Notes'!$A$4:$B$5,2,FALSE)</x:f>
        <x:v>Retail</x:v>
      </x:c>
      <x:c r="K344" s="10" t="str">
        <x:f>VLOOKUP(C344,'Lookups &amp; Notes'!$A$8:$B$10,2,FALSE)</x:f>
        <x:v>Other</x:v>
      </x:c>
      <x:c r="L344" s="10" t="n">
        <x:f>SUM(D344:I344)</x:f>
        <x:v>27408</x:v>
      </x:c>
      <x:c r="M344" s="39" t="n">
        <x:f>IFERROR(F344/L344,0)</x:f>
        <x:v>0.4100262697022767</x:v>
      </x:c>
      <x:c r="N344" s="38" t="str">
        <x:f>IF(L344&gt;='Lookups &amp; Notes'!$E$4,"High Value","Standard")</x:f>
        <x:v>Standard</x:v>
      </x:c>
    </x:row>
    <x:row r="345">
      <x:c r="A345" s="38" t="str">
        <x:v>CUST-343</x:v>
      </x:c>
      <x:c r="B345" s="38" t="n">
        <x:f>'Raw Data'!A345</x:f>
        <x:v>1</x:v>
      </x:c>
      <x:c r="C345" s="38" t="n">
        <x:f>'Raw Data'!B345</x:f>
        <x:v>3</x:v>
      </x:c>
      <x:c r="D345" s="10" t="n">
        <x:f>'Raw Data'!C345</x:f>
        <x:v>255</x:v>
      </x:c>
      <x:c r="E345" s="10" t="n">
        <x:f>'Raw Data'!D345</x:f>
        <x:v>5758</x:v>
      </x:c>
      <x:c r="F345" s="10" t="n">
        <x:f>'Raw Data'!E345</x:f>
        <x:v>5923</x:v>
      </x:c>
      <x:c r="G345" s="10" t="n">
        <x:f>'Raw Data'!F345</x:f>
        <x:v>349</x:v>
      </x:c>
      <x:c r="H345" s="10" t="n">
        <x:f>'Raw Data'!G345</x:f>
        <x:v>4595</x:v>
      </x:c>
      <x:c r="I345" s="10" t="n">
        <x:f>'Raw Data'!H345</x:f>
        <x:v>1328</x:v>
      </x:c>
      <x:c r="J345" s="10" t="str">
        <x:f>VLOOKUP(B345,'Lookups &amp; Notes'!$A$4:$B$5,2,FALSE)</x:f>
        <x:v>Horeca</x:v>
      </x:c>
      <x:c r="K345" s="10" t="str">
        <x:f>VLOOKUP(C345,'Lookups &amp; Notes'!$A$8:$B$10,2,FALSE)</x:f>
        <x:v>Other</x:v>
      </x:c>
      <x:c r="L345" s="10" t="n">
        <x:f>SUM(D345:I345)</x:f>
        <x:v>18208</x:v>
      </x:c>
      <x:c r="M345" s="39" t="n">
        <x:f>IFERROR(F345/L345,0)</x:f>
        <x:v>0.32529657293497366</x:v>
      </x:c>
      <x:c r="N345" s="38" t="str">
        <x:f>IF(L345&gt;='Lookups &amp; Notes'!$E$4,"High Value","Standard")</x:f>
        <x:v>Standard</x:v>
      </x:c>
    </x:row>
    <x:row r="346">
      <x:c r="A346" s="38" t="str">
        <x:v>CUST-344</x:v>
      </x:c>
      <x:c r="B346" s="38" t="n">
        <x:f>'Raw Data'!A346</x:f>
        <x:v>2</x:v>
      </x:c>
      <x:c r="C346" s="38" t="n">
        <x:f>'Raw Data'!B346</x:f>
        <x:v>3</x:v>
      </x:c>
      <x:c r="D346" s="10" t="n">
        <x:f>'Raw Data'!C346</x:f>
        <x:v>1689</x:v>
      </x:c>
      <x:c r="E346" s="10" t="n">
        <x:f>'Raw Data'!D346</x:f>
        <x:v>6964</x:v>
      </x:c>
      <x:c r="F346" s="10" t="n">
        <x:f>'Raw Data'!E346</x:f>
        <x:v>26316</x:v>
      </x:c>
      <x:c r="G346" s="10" t="n">
        <x:f>'Raw Data'!F346</x:f>
        <x:v>1456</x:v>
      </x:c>
      <x:c r="H346" s="10" t="n">
        <x:f>'Raw Data'!G346</x:f>
        <x:v>15469</x:v>
      </x:c>
      <x:c r="I346" s="10" t="n">
        <x:f>'Raw Data'!H346</x:f>
        <x:v>37</x:v>
      </x:c>
      <x:c r="J346" s="10" t="str">
        <x:f>VLOOKUP(B346,'Lookups &amp; Notes'!$A$4:$B$5,2,FALSE)</x:f>
        <x:v>Retail</x:v>
      </x:c>
      <x:c r="K346" s="10" t="str">
        <x:f>VLOOKUP(C346,'Lookups &amp; Notes'!$A$8:$B$10,2,FALSE)</x:f>
        <x:v>Other</x:v>
      </x:c>
      <x:c r="L346" s="10" t="n">
        <x:f>SUM(D346:I346)</x:f>
        <x:v>51931</x:v>
      </x:c>
      <x:c r="M346" s="39" t="n">
        <x:f>IFERROR(F346/L346,0)</x:f>
        <x:v>0.5067493404710096</x:v>
      </x:c>
      <x:c r="N346" s="38" t="str">
        <x:f>IF(L346&gt;='Lookups &amp; Notes'!$E$4,"High Value","Standard")</x:f>
        <x:v>High Value</x:v>
      </x:c>
    </x:row>
    <x:row r="347">
      <x:c r="A347" s="38" t="str">
        <x:v>CUST-345</x:v>
      </x:c>
      <x:c r="B347" s="38" t="n">
        <x:f>'Raw Data'!A347</x:f>
        <x:v>1</x:v>
      </x:c>
      <x:c r="C347" s="38" t="n">
        <x:f>'Raw Data'!B347</x:f>
        <x:v>3</x:v>
      </x:c>
      <x:c r="D347" s="10" t="n">
        <x:f>'Raw Data'!C347</x:f>
        <x:v>3043</x:v>
      </x:c>
      <x:c r="E347" s="10" t="n">
        <x:f>'Raw Data'!D347</x:f>
        <x:v>1172</x:v>
      </x:c>
      <x:c r="F347" s="10" t="n">
        <x:f>'Raw Data'!E347</x:f>
        <x:v>1763</x:v>
      </x:c>
      <x:c r="G347" s="10" t="n">
        <x:f>'Raw Data'!F347</x:f>
        <x:v>2234</x:v>
      </x:c>
      <x:c r="H347" s="10" t="n">
        <x:f>'Raw Data'!G347</x:f>
        <x:v>217</x:v>
      </x:c>
      <x:c r="I347" s="10" t="n">
        <x:f>'Raw Data'!H347</x:f>
        <x:v>379</x:v>
      </x:c>
      <x:c r="J347" s="10" t="str">
        <x:f>VLOOKUP(B347,'Lookups &amp; Notes'!$A$4:$B$5,2,FALSE)</x:f>
        <x:v>Horeca</x:v>
      </x:c>
      <x:c r="K347" s="10" t="str">
        <x:f>VLOOKUP(C347,'Lookups &amp; Notes'!$A$8:$B$10,2,FALSE)</x:f>
        <x:v>Other</x:v>
      </x:c>
      <x:c r="L347" s="10" t="n">
        <x:f>SUM(D347:I347)</x:f>
        <x:v>8808</x:v>
      </x:c>
      <x:c r="M347" s="39" t="n">
        <x:f>IFERROR(F347/L347,0)</x:f>
        <x:v>0.2001589464123524</x:v>
      </x:c>
      <x:c r="N347" s="38" t="str">
        <x:f>IF(L347&gt;='Lookups &amp; Notes'!$E$4,"High Value","Standard")</x:f>
        <x:v>Standard</x:v>
      </x:c>
    </x:row>
    <x:row r="348">
      <x:c r="A348" s="38" t="str">
        <x:v>CUST-346</x:v>
      </x:c>
      <x:c r="B348" s="38" t="n">
        <x:f>'Raw Data'!A348</x:f>
        <x:v>1</x:v>
      </x:c>
      <x:c r="C348" s="38" t="n">
        <x:f>'Raw Data'!B348</x:f>
        <x:v>3</x:v>
      </x:c>
      <x:c r="D348" s="10" t="n">
        <x:f>'Raw Data'!C348</x:f>
        <x:v>1198</x:v>
      </x:c>
      <x:c r="E348" s="10" t="n">
        <x:f>'Raw Data'!D348</x:f>
        <x:v>2602</x:v>
      </x:c>
      <x:c r="F348" s="10" t="n">
        <x:f>'Raw Data'!E348</x:f>
        <x:v>8335</x:v>
      </x:c>
      <x:c r="G348" s="10" t="n">
        <x:f>'Raw Data'!F348</x:f>
        <x:v>402</x:v>
      </x:c>
      <x:c r="H348" s="10" t="n">
        <x:f>'Raw Data'!G348</x:f>
        <x:v>3843</x:v>
      </x:c>
      <x:c r="I348" s="10" t="n">
        <x:f>'Raw Data'!H348</x:f>
        <x:v>303</x:v>
      </x:c>
      <x:c r="J348" s="10" t="str">
        <x:f>VLOOKUP(B348,'Lookups &amp; Notes'!$A$4:$B$5,2,FALSE)</x:f>
        <x:v>Horeca</x:v>
      </x:c>
      <x:c r="K348" s="10" t="str">
        <x:f>VLOOKUP(C348,'Lookups &amp; Notes'!$A$8:$B$10,2,FALSE)</x:f>
        <x:v>Other</x:v>
      </x:c>
      <x:c r="L348" s="10" t="n">
        <x:f>SUM(D348:I348)</x:f>
        <x:v>16683</x:v>
      </x:c>
      <x:c r="M348" s="39" t="n">
        <x:f>IFERROR(F348/L348,0)</x:f>
        <x:v>0.4996103818258107</x:v>
      </x:c>
      <x:c r="N348" s="38" t="str">
        <x:f>IF(L348&gt;='Lookups &amp; Notes'!$E$4,"High Value","Standard")</x:f>
        <x:v>Standard</x:v>
      </x:c>
    </x:row>
    <x:row r="349">
      <x:c r="A349" s="38" t="str">
        <x:v>CUST-347</x:v>
      </x:c>
      <x:c r="B349" s="38" t="n">
        <x:f>'Raw Data'!A349</x:f>
        <x:v>2</x:v>
      </x:c>
      <x:c r="C349" s="38" t="n">
        <x:f>'Raw Data'!B349</x:f>
        <x:v>3</x:v>
      </x:c>
      <x:c r="D349" s="10" t="n">
        <x:f>'Raw Data'!C349</x:f>
        <x:v>2771</x:v>
      </x:c>
      <x:c r="E349" s="10" t="n">
        <x:f>'Raw Data'!D349</x:f>
        <x:v>6939</x:v>
      </x:c>
      <x:c r="F349" s="10" t="n">
        <x:f>'Raw Data'!E349</x:f>
        <x:v>15541</x:v>
      </x:c>
      <x:c r="G349" s="10" t="n">
        <x:f>'Raw Data'!F349</x:f>
        <x:v>2693</x:v>
      </x:c>
      <x:c r="H349" s="10" t="n">
        <x:f>'Raw Data'!G349</x:f>
        <x:v>6600</x:v>
      </x:c>
      <x:c r="I349" s="10" t="n">
        <x:f>'Raw Data'!H349</x:f>
        <x:v>1115</x:v>
      </x:c>
      <x:c r="J349" s="10" t="str">
        <x:f>VLOOKUP(B349,'Lookups &amp; Notes'!$A$4:$B$5,2,FALSE)</x:f>
        <x:v>Retail</x:v>
      </x:c>
      <x:c r="K349" s="10" t="str">
        <x:f>VLOOKUP(C349,'Lookups &amp; Notes'!$A$8:$B$10,2,FALSE)</x:f>
        <x:v>Other</x:v>
      </x:c>
      <x:c r="L349" s="10" t="n">
        <x:f>SUM(D349:I349)</x:f>
        <x:v>35659</x:v>
      </x:c>
      <x:c r="M349" s="39" t="n">
        <x:f>IFERROR(F349/L349,0)</x:f>
        <x:v>0.4358226534675678</x:v>
      </x:c>
      <x:c r="N349" s="38" t="str">
        <x:f>IF(L349&gt;='Lookups &amp; Notes'!$E$4,"High Value","Standard")</x:f>
        <x:v>High Value</x:v>
      </x:c>
    </x:row>
    <x:row r="350">
      <x:c r="A350" s="38" t="str">
        <x:v>CUST-348</x:v>
      </x:c>
      <x:c r="B350" s="38" t="n">
        <x:f>'Raw Data'!A350</x:f>
        <x:v>2</x:v>
      </x:c>
      <x:c r="C350" s="38" t="n">
        <x:f>'Raw Data'!B350</x:f>
        <x:v>3</x:v>
      </x:c>
      <x:c r="D350" s="10" t="n">
        <x:f>'Raw Data'!C350</x:f>
        <x:v>27380</x:v>
      </x:c>
      <x:c r="E350" s="10" t="n">
        <x:f>'Raw Data'!D350</x:f>
        <x:v>7184</x:v>
      </x:c>
      <x:c r="F350" s="10" t="n">
        <x:f>'Raw Data'!E350</x:f>
        <x:v>12311</x:v>
      </x:c>
      <x:c r="G350" s="10" t="n">
        <x:f>'Raw Data'!F350</x:f>
        <x:v>2809</x:v>
      </x:c>
      <x:c r="H350" s="10" t="n">
        <x:f>'Raw Data'!G350</x:f>
        <x:v>4621</x:v>
      </x:c>
      <x:c r="I350" s="10" t="n">
        <x:f>'Raw Data'!H350</x:f>
        <x:v>1022</x:v>
      </x:c>
      <x:c r="J350" s="10" t="str">
        <x:f>VLOOKUP(B350,'Lookups &amp; Notes'!$A$4:$B$5,2,FALSE)</x:f>
        <x:v>Retail</x:v>
      </x:c>
      <x:c r="K350" s="10" t="str">
        <x:f>VLOOKUP(C350,'Lookups &amp; Notes'!$A$8:$B$10,2,FALSE)</x:f>
        <x:v>Other</x:v>
      </x:c>
      <x:c r="L350" s="10" t="n">
        <x:f>SUM(D350:I350)</x:f>
        <x:v>55327</x:v>
      </x:c>
      <x:c r="M350" s="39" t="n">
        <x:f>IFERROR(F350/L350,0)</x:f>
        <x:v>0.22251342021074702</x:v>
      </x:c>
      <x:c r="N350" s="38" t="str">
        <x:f>IF(L350&gt;='Lookups &amp; Notes'!$E$4,"High Value","Standard")</x:f>
        <x:v>High Value</x:v>
      </x:c>
    </x:row>
    <x:row r="351">
      <x:c r="A351" s="38" t="str">
        <x:v>CUST-349</x:v>
      </x:c>
      <x:c r="B351" s="38" t="n">
        <x:f>'Raw Data'!A351</x:f>
        <x:v>1</x:v>
      </x:c>
      <x:c r="C351" s="38" t="n">
        <x:f>'Raw Data'!B351</x:f>
        <x:v>3</x:v>
      </x:c>
      <x:c r="D351" s="10" t="n">
        <x:f>'Raw Data'!C351</x:f>
        <x:v>3428</x:v>
      </x:c>
      <x:c r="E351" s="10" t="n">
        <x:f>'Raw Data'!D351</x:f>
        <x:v>2380</x:v>
      </x:c>
      <x:c r="F351" s="10" t="n">
        <x:f>'Raw Data'!E351</x:f>
        <x:v>2028</x:v>
      </x:c>
      <x:c r="G351" s="10" t="n">
        <x:f>'Raw Data'!F351</x:f>
        <x:v>1341</x:v>
      </x:c>
      <x:c r="H351" s="10" t="n">
        <x:f>'Raw Data'!G351</x:f>
        <x:v>1184</x:v>
      </x:c>
      <x:c r="I351" s="10" t="n">
        <x:f>'Raw Data'!H351</x:f>
        <x:v>665</x:v>
      </x:c>
      <x:c r="J351" s="10" t="str">
        <x:f>VLOOKUP(B351,'Lookups &amp; Notes'!$A$4:$B$5,2,FALSE)</x:f>
        <x:v>Horeca</x:v>
      </x:c>
      <x:c r="K351" s="10" t="str">
        <x:f>VLOOKUP(C351,'Lookups &amp; Notes'!$A$8:$B$10,2,FALSE)</x:f>
        <x:v>Other</x:v>
      </x:c>
      <x:c r="L351" s="10" t="n">
        <x:f>SUM(D351:I351)</x:f>
        <x:v>11026</x:v>
      </x:c>
      <x:c r="M351" s="39" t="n">
        <x:f>IFERROR(F351/L351,0)</x:f>
        <x:v>0.18392889533829132</x:v>
      </x:c>
      <x:c r="N351" s="38" t="str">
        <x:f>IF(L351&gt;='Lookups &amp; Notes'!$E$4,"High Value","Standard")</x:f>
        <x:v>Standard</x:v>
      </x:c>
    </x:row>
    <x:row r="352">
      <x:c r="A352" s="38" t="str">
        <x:v>CUST-350</x:v>
      </x:c>
      <x:c r="B352" s="38" t="n">
        <x:f>'Raw Data'!A352</x:f>
        <x:v>2</x:v>
      </x:c>
      <x:c r="C352" s="38" t="n">
        <x:f>'Raw Data'!B352</x:f>
        <x:v>3</x:v>
      </x:c>
      <x:c r="D352" s="10" t="n">
        <x:f>'Raw Data'!C352</x:f>
        <x:v>5981</x:v>
      </x:c>
      <x:c r="E352" s="10" t="n">
        <x:f>'Raw Data'!D352</x:f>
        <x:v>14641</x:v>
      </x:c>
      <x:c r="F352" s="10" t="n">
        <x:f>'Raw Data'!E352</x:f>
        <x:v>20521</x:v>
      </x:c>
      <x:c r="G352" s="10" t="n">
        <x:f>'Raw Data'!F352</x:f>
        <x:v>2005</x:v>
      </x:c>
      <x:c r="H352" s="10" t="n">
        <x:f>'Raw Data'!G352</x:f>
        <x:v>12218</x:v>
      </x:c>
      <x:c r="I352" s="10" t="n">
        <x:f>'Raw Data'!H352</x:f>
        <x:v>445</x:v>
      </x:c>
      <x:c r="J352" s="10" t="str">
        <x:f>VLOOKUP(B352,'Lookups &amp; Notes'!$A$4:$B$5,2,FALSE)</x:f>
        <x:v>Retail</x:v>
      </x:c>
      <x:c r="K352" s="10" t="str">
        <x:f>VLOOKUP(C352,'Lookups &amp; Notes'!$A$8:$B$10,2,FALSE)</x:f>
        <x:v>Other</x:v>
      </x:c>
      <x:c r="L352" s="10" t="n">
        <x:f>SUM(D352:I352)</x:f>
        <x:v>55811</x:v>
      </x:c>
      <x:c r="M352" s="39" t="n">
        <x:f>IFERROR(F352/L352,0)</x:f>
        <x:v>0.36768737345684543</x:v>
      </x:c>
      <x:c r="N352" s="38" t="str">
        <x:f>IF(L352&gt;='Lookups &amp; Notes'!$E$4,"High Value","Standard")</x:f>
        <x:v>High Value</x:v>
      </x:c>
    </x:row>
    <x:row r="353">
      <x:c r="A353" s="38" t="str">
        <x:v>CUST-351</x:v>
      </x:c>
      <x:c r="B353" s="38" t="n">
        <x:f>'Raw Data'!A353</x:f>
        <x:v>1</x:v>
      </x:c>
      <x:c r="C353" s="38" t="n">
        <x:f>'Raw Data'!B353</x:f>
        <x:v>3</x:v>
      </x:c>
      <x:c r="D353" s="10" t="n">
        <x:f>'Raw Data'!C353</x:f>
        <x:v>3521</x:v>
      </x:c>
      <x:c r="E353" s="10" t="n">
        <x:f>'Raw Data'!D353</x:f>
        <x:v>1099</x:v>
      </x:c>
      <x:c r="F353" s="10" t="n">
        <x:f>'Raw Data'!E353</x:f>
        <x:v>1997</x:v>
      </x:c>
      <x:c r="G353" s="10" t="n">
        <x:f>'Raw Data'!F353</x:f>
        <x:v>1796</x:v>
      </x:c>
      <x:c r="H353" s="10" t="n">
        <x:f>'Raw Data'!G353</x:f>
        <x:v>173</x:v>
      </x:c>
      <x:c r="I353" s="10" t="n">
        <x:f>'Raw Data'!H353</x:f>
        <x:v>995</x:v>
      </x:c>
      <x:c r="J353" s="10" t="str">
        <x:f>VLOOKUP(B353,'Lookups &amp; Notes'!$A$4:$B$5,2,FALSE)</x:f>
        <x:v>Horeca</x:v>
      </x:c>
      <x:c r="K353" s="10" t="str">
        <x:f>VLOOKUP(C353,'Lookups &amp; Notes'!$A$8:$B$10,2,FALSE)</x:f>
        <x:v>Other</x:v>
      </x:c>
      <x:c r="L353" s="10" t="n">
        <x:f>SUM(D353:I353)</x:f>
        <x:v>9581</x:v>
      </x:c>
      <x:c r="M353" s="39" t="n">
        <x:f>IFERROR(F353/L353,0)</x:f>
        <x:v>0.20843335768708904</x:v>
      </x:c>
      <x:c r="N353" s="38" t="str">
        <x:f>IF(L353&gt;='Lookups &amp; Notes'!$E$4,"High Value","Standard")</x:f>
        <x:v>Standard</x:v>
      </x:c>
    </x:row>
    <x:row r="354">
      <x:c r="A354" s="38" t="str">
        <x:v>CUST-352</x:v>
      </x:c>
      <x:c r="B354" s="38" t="n">
        <x:f>'Raw Data'!A354</x:f>
        <x:v>2</x:v>
      </x:c>
      <x:c r="C354" s="38" t="n">
        <x:f>'Raw Data'!B354</x:f>
        <x:v>3</x:v>
      </x:c>
      <x:c r="D354" s="10" t="n">
        <x:f>'Raw Data'!C354</x:f>
        <x:v>1210</x:v>
      </x:c>
      <x:c r="E354" s="10" t="n">
        <x:f>'Raw Data'!D354</x:f>
        <x:v>10044</x:v>
      </x:c>
      <x:c r="F354" s="10" t="n">
        <x:f>'Raw Data'!E354</x:f>
        <x:v>22294</x:v>
      </x:c>
      <x:c r="G354" s="10" t="n">
        <x:f>'Raw Data'!F354</x:f>
        <x:v>1741</x:v>
      </x:c>
      <x:c r="H354" s="10" t="n">
        <x:f>'Raw Data'!G354</x:f>
        <x:v>12638</x:v>
      </x:c>
      <x:c r="I354" s="10" t="n">
        <x:f>'Raw Data'!H354</x:f>
        <x:v>3137</x:v>
      </x:c>
      <x:c r="J354" s="10" t="str">
        <x:f>VLOOKUP(B354,'Lookups &amp; Notes'!$A$4:$B$5,2,FALSE)</x:f>
        <x:v>Retail</x:v>
      </x:c>
      <x:c r="K354" s="10" t="str">
        <x:f>VLOOKUP(C354,'Lookups &amp; Notes'!$A$8:$B$10,2,FALSE)</x:f>
        <x:v>Other</x:v>
      </x:c>
      <x:c r="L354" s="10" t="n">
        <x:f>SUM(D354:I354)</x:f>
        <x:v>51064</x:v>
      </x:c>
      <x:c r="M354" s="39" t="n">
        <x:f>IFERROR(F354/L354,0)</x:f>
        <x:v>0.43658937803540654</x:v>
      </x:c>
      <x:c r="N354" s="38" t="str">
        <x:f>IF(L354&gt;='Lookups &amp; Notes'!$E$4,"High Value","Standard")</x:f>
        <x:v>High Value</x:v>
      </x:c>
    </x:row>
    <x:row r="355">
      <x:c r="A355" s="38" t="str">
        <x:v>CUST-353</x:v>
      </x:c>
      <x:c r="B355" s="38" t="n">
        <x:f>'Raw Data'!A355</x:f>
        <x:v>1</x:v>
      </x:c>
      <x:c r="C355" s="38" t="n">
        <x:f>'Raw Data'!B355</x:f>
        <x:v>3</x:v>
      </x:c>
      <x:c r="D355" s="10" t="n">
        <x:f>'Raw Data'!C355</x:f>
        <x:v>608</x:v>
      </x:c>
      <x:c r="E355" s="10" t="n">
        <x:f>'Raw Data'!D355</x:f>
        <x:v>1106</x:v>
      </x:c>
      <x:c r="F355" s="10" t="n">
        <x:f>'Raw Data'!E355</x:f>
        <x:v>1533</x:v>
      </x:c>
      <x:c r="G355" s="10" t="n">
        <x:f>'Raw Data'!F355</x:f>
        <x:v>830</x:v>
      </x:c>
      <x:c r="H355" s="10" t="n">
        <x:f>'Raw Data'!G355</x:f>
        <x:v>90</x:v>
      </x:c>
      <x:c r="I355" s="10" t="n">
        <x:f>'Raw Data'!H355</x:f>
        <x:v>195</x:v>
      </x:c>
      <x:c r="J355" s="10" t="str">
        <x:f>VLOOKUP(B355,'Lookups &amp; Notes'!$A$4:$B$5,2,FALSE)</x:f>
        <x:v>Horeca</x:v>
      </x:c>
      <x:c r="K355" s="10" t="str">
        <x:f>VLOOKUP(C355,'Lookups &amp; Notes'!$A$8:$B$10,2,FALSE)</x:f>
        <x:v>Other</x:v>
      </x:c>
      <x:c r="L355" s="10" t="n">
        <x:f>SUM(D355:I355)</x:f>
        <x:v>4362</x:v>
      </x:c>
      <x:c r="M355" s="39" t="n">
        <x:f>IFERROR(F355/L355,0)</x:f>
        <x:v>0.35144429160935353</x:v>
      </x:c>
      <x:c r="N355" s="38" t="str">
        <x:f>IF(L355&gt;='Lookups &amp; Notes'!$E$4,"High Value","Standard")</x:f>
        <x:v>Standard</x:v>
      </x:c>
    </x:row>
    <x:row r="356">
      <x:c r="A356" s="38" t="str">
        <x:v>CUST-354</x:v>
      </x:c>
      <x:c r="B356" s="38" t="n">
        <x:f>'Raw Data'!A356</x:f>
        <x:v>2</x:v>
      </x:c>
      <x:c r="C356" s="38" t="n">
        <x:f>'Raw Data'!B356</x:f>
        <x:v>3</x:v>
      </x:c>
      <x:c r="D356" s="10" t="n">
        <x:f>'Raw Data'!C356</x:f>
        <x:v>117</x:v>
      </x:c>
      <x:c r="E356" s="10" t="n">
        <x:f>'Raw Data'!D356</x:f>
        <x:v>6264</x:v>
      </x:c>
      <x:c r="F356" s="10" t="n">
        <x:f>'Raw Data'!E356</x:f>
        <x:v>21203</x:v>
      </x:c>
      <x:c r="G356" s="10" t="n">
        <x:f>'Raw Data'!F356</x:f>
        <x:v>228</x:v>
      </x:c>
      <x:c r="H356" s="10" t="n">
        <x:f>'Raw Data'!G356</x:f>
        <x:v>8682</x:v>
      </x:c>
      <x:c r="I356" s="10" t="n">
        <x:f>'Raw Data'!H356</x:f>
        <x:v>1111</x:v>
      </x:c>
      <x:c r="J356" s="10" t="str">
        <x:f>VLOOKUP(B356,'Lookups &amp; Notes'!$A$4:$B$5,2,FALSE)</x:f>
        <x:v>Retail</x:v>
      </x:c>
      <x:c r="K356" s="10" t="str">
        <x:f>VLOOKUP(C356,'Lookups &amp; Notes'!$A$8:$B$10,2,FALSE)</x:f>
        <x:v>Other</x:v>
      </x:c>
      <x:c r="L356" s="10" t="n">
        <x:f>SUM(D356:I356)</x:f>
        <x:v>37605</x:v>
      </x:c>
      <x:c r="M356" s="39" t="n">
        <x:f>IFERROR(F356/L356,0)</x:f>
        <x:v>0.5638345964632363</x:v>
      </x:c>
      <x:c r="N356" s="38" t="str">
        <x:f>IF(L356&gt;='Lookups &amp; Notes'!$E$4,"High Value","Standard")</x:f>
        <x:v>High Value</x:v>
      </x:c>
    </x:row>
    <x:row r="357">
      <x:c r="A357" s="38" t="str">
        <x:v>CUST-355</x:v>
      </x:c>
      <x:c r="B357" s="38" t="n">
        <x:f>'Raw Data'!A357</x:f>
        <x:v>1</x:v>
      </x:c>
      <x:c r="C357" s="38" t="n">
        <x:f>'Raw Data'!B357</x:f>
        <x:v>3</x:v>
      </x:c>
      <x:c r="D357" s="10" t="n">
        <x:f>'Raw Data'!C357</x:f>
        <x:v>14039</x:v>
      </x:c>
      <x:c r="E357" s="10" t="n">
        <x:f>'Raw Data'!D357</x:f>
        <x:v>7393</x:v>
      </x:c>
      <x:c r="F357" s="10" t="n">
        <x:f>'Raw Data'!E357</x:f>
        <x:v>2548</x:v>
      </x:c>
      <x:c r="G357" s="10" t="n">
        <x:f>'Raw Data'!F357</x:f>
        <x:v>6386</x:v>
      </x:c>
      <x:c r="H357" s="10" t="n">
        <x:f>'Raw Data'!G357</x:f>
        <x:v>1333</x:v>
      </x:c>
      <x:c r="I357" s="10" t="n">
        <x:f>'Raw Data'!H357</x:f>
        <x:v>2341</x:v>
      </x:c>
      <x:c r="J357" s="10" t="str">
        <x:f>VLOOKUP(B357,'Lookups &amp; Notes'!$A$4:$B$5,2,FALSE)</x:f>
        <x:v>Horeca</x:v>
      </x:c>
      <x:c r="K357" s="10" t="str">
        <x:f>VLOOKUP(C357,'Lookups &amp; Notes'!$A$8:$B$10,2,FALSE)</x:f>
        <x:v>Other</x:v>
      </x:c>
      <x:c r="L357" s="10" t="n">
        <x:f>SUM(D357:I357)</x:f>
        <x:v>34040</x:v>
      </x:c>
      <x:c r="M357" s="39" t="n">
        <x:f>IFERROR(F357/L357,0)</x:f>
        <x:v>0.07485311398354877</x:v>
      </x:c>
      <x:c r="N357" s="38" t="str">
        <x:f>IF(L357&gt;='Lookups &amp; Notes'!$E$4,"High Value","Standard")</x:f>
        <x:v>High Value</x:v>
      </x:c>
    </x:row>
    <x:row r="358">
      <x:c r="A358" s="38" t="str">
        <x:v>CUST-356</x:v>
      </x:c>
      <x:c r="B358" s="38" t="n">
        <x:f>'Raw Data'!A358</x:f>
        <x:v>1</x:v>
      </x:c>
      <x:c r="C358" s="38" t="n">
        <x:f>'Raw Data'!B358</x:f>
        <x:v>3</x:v>
      </x:c>
      <x:c r="D358" s="10" t="n">
        <x:f>'Raw Data'!C358</x:f>
        <x:v>190</x:v>
      </x:c>
      <x:c r="E358" s="10" t="n">
        <x:f>'Raw Data'!D358</x:f>
        <x:v>727</x:v>
      </x:c>
      <x:c r="F358" s="10" t="n">
        <x:f>'Raw Data'!E358</x:f>
        <x:v>2012</x:v>
      </x:c>
      <x:c r="G358" s="10" t="n">
        <x:f>'Raw Data'!F358</x:f>
        <x:v>245</x:v>
      </x:c>
      <x:c r="H358" s="10" t="n">
        <x:f>'Raw Data'!G358</x:f>
        <x:v>184</x:v>
      </x:c>
      <x:c r="I358" s="10" t="n">
        <x:f>'Raw Data'!H358</x:f>
        <x:v>127</x:v>
      </x:c>
      <x:c r="J358" s="10" t="str">
        <x:f>VLOOKUP(B358,'Lookups &amp; Notes'!$A$4:$B$5,2,FALSE)</x:f>
        <x:v>Horeca</x:v>
      </x:c>
      <x:c r="K358" s="10" t="str">
        <x:f>VLOOKUP(C358,'Lookups &amp; Notes'!$A$8:$B$10,2,FALSE)</x:f>
        <x:v>Other</x:v>
      </x:c>
      <x:c r="L358" s="10" t="n">
        <x:f>SUM(D358:I358)</x:f>
        <x:v>3485</x:v>
      </x:c>
      <x:c r="M358" s="39" t="n">
        <x:f>IFERROR(F358/L358,0)</x:f>
        <x:v>0.5773314203730272</x:v>
      </x:c>
      <x:c r="N358" s="38" t="str">
        <x:f>IF(L358&gt;='Lookups &amp; Notes'!$E$4,"High Value","Standard")</x:f>
        <x:v>Standard</x:v>
      </x:c>
    </x:row>
    <x:row r="359">
      <x:c r="A359" s="38" t="str">
        <x:v>CUST-357</x:v>
      </x:c>
      <x:c r="B359" s="38" t="n">
        <x:f>'Raw Data'!A359</x:f>
        <x:v>1</x:v>
      </x:c>
      <x:c r="C359" s="38" t="n">
        <x:f>'Raw Data'!B359</x:f>
        <x:v>3</x:v>
      </x:c>
      <x:c r="D359" s="10" t="n">
        <x:f>'Raw Data'!C359</x:f>
        <x:v>22686</x:v>
      </x:c>
      <x:c r="E359" s="10" t="n">
        <x:f>'Raw Data'!D359</x:f>
        <x:v>134</x:v>
      </x:c>
      <x:c r="F359" s="10" t="n">
        <x:f>'Raw Data'!E359</x:f>
        <x:v>218</x:v>
      </x:c>
      <x:c r="G359" s="10" t="n">
        <x:f>'Raw Data'!F359</x:f>
        <x:v>3157</x:v>
      </x:c>
      <x:c r="H359" s="10" t="n">
        <x:f>'Raw Data'!G359</x:f>
        <x:v>9</x:v>
      </x:c>
      <x:c r="I359" s="10" t="n">
        <x:f>'Raw Data'!H359</x:f>
        <x:v>548</x:v>
      </x:c>
      <x:c r="J359" s="10" t="str">
        <x:f>VLOOKUP(B359,'Lookups &amp; Notes'!$A$4:$B$5,2,FALSE)</x:f>
        <x:v>Horeca</x:v>
      </x:c>
      <x:c r="K359" s="10" t="str">
        <x:f>VLOOKUP(C359,'Lookups &amp; Notes'!$A$8:$B$10,2,FALSE)</x:f>
        <x:v>Other</x:v>
      </x:c>
      <x:c r="L359" s="10" t="n">
        <x:f>SUM(D359:I359)</x:f>
        <x:v>26752</x:v>
      </x:c>
      <x:c r="M359" s="39" t="n">
        <x:f>IFERROR(F359/L359,0)</x:f>
        <x:v>0.008148923444976076</x:v>
      </x:c>
      <x:c r="N359" s="38" t="str">
        <x:f>IF(L359&gt;='Lookups &amp; Notes'!$E$4,"High Value","Standard")</x:f>
        <x:v>Standard</x:v>
      </x:c>
    </x:row>
    <x:row r="360">
      <x:c r="A360" s="38" t="str">
        <x:v>CUST-358</x:v>
      </x:c>
      <x:c r="B360" s="38" t="n">
        <x:f>'Raw Data'!A360</x:f>
        <x:v>2</x:v>
      </x:c>
      <x:c r="C360" s="38" t="n">
        <x:f>'Raw Data'!B360</x:f>
        <x:v>3</x:v>
      </x:c>
      <x:c r="D360" s="10" t="n">
        <x:f>'Raw Data'!C360</x:f>
        <x:v>37</x:v>
      </x:c>
      <x:c r="E360" s="10" t="n">
        <x:f>'Raw Data'!D360</x:f>
        <x:v>1275</x:v>
      </x:c>
      <x:c r="F360" s="10" t="n">
        <x:f>'Raw Data'!E360</x:f>
        <x:v>22272</x:v>
      </x:c>
      <x:c r="G360" s="10" t="n">
        <x:f>'Raw Data'!F360</x:f>
        <x:v>137</x:v>
      </x:c>
      <x:c r="H360" s="10" t="n">
        <x:f>'Raw Data'!G360</x:f>
        <x:v>6747</x:v>
      </x:c>
      <x:c r="I360" s="10" t="n">
        <x:f>'Raw Data'!H360</x:f>
        <x:v>110</x:v>
      </x:c>
      <x:c r="J360" s="10" t="str">
        <x:f>VLOOKUP(B360,'Lookups &amp; Notes'!$A$4:$B$5,2,FALSE)</x:f>
        <x:v>Retail</x:v>
      </x:c>
      <x:c r="K360" s="10" t="str">
        <x:f>VLOOKUP(C360,'Lookups &amp; Notes'!$A$8:$B$10,2,FALSE)</x:f>
        <x:v>Other</x:v>
      </x:c>
      <x:c r="L360" s="10" t="n">
        <x:f>SUM(D360:I360)</x:f>
        <x:v>30578</x:v>
      </x:c>
      <x:c r="M360" s="39" t="n">
        <x:f>IFERROR(F360/L360,0)</x:f>
        <x:v>0.7283667996598862</x:v>
      </x:c>
      <x:c r="N360" s="38" t="str">
        <x:f>IF(L360&gt;='Lookups &amp; Notes'!$E$4,"High Value","Standard")</x:f>
        <x:v>High Value</x:v>
      </x:c>
    </x:row>
    <x:row r="361">
      <x:c r="A361" s="38" t="str">
        <x:v>CUST-359</x:v>
      </x:c>
      <x:c r="B361" s="38" t="n">
        <x:f>'Raw Data'!A361</x:f>
        <x:v>1</x:v>
      </x:c>
      <x:c r="C361" s="38" t="n">
        <x:f>'Raw Data'!B361</x:f>
        <x:v>3</x:v>
      </x:c>
      <x:c r="D361" s="10" t="n">
        <x:f>'Raw Data'!C361</x:f>
        <x:v>759</x:v>
      </x:c>
      <x:c r="E361" s="10" t="n">
        <x:f>'Raw Data'!D361</x:f>
        <x:v>18664</x:v>
      </x:c>
      <x:c r="F361" s="10" t="n">
        <x:f>'Raw Data'!E361</x:f>
        <x:v>1660</x:v>
      </x:c>
      <x:c r="G361" s="10" t="n">
        <x:f>'Raw Data'!F361</x:f>
        <x:v>6114</x:v>
      </x:c>
      <x:c r="H361" s="10" t="n">
        <x:f>'Raw Data'!G361</x:f>
        <x:v>536</x:v>
      </x:c>
      <x:c r="I361" s="10" t="n">
        <x:f>'Raw Data'!H361</x:f>
        <x:v>4100</x:v>
      </x:c>
      <x:c r="J361" s="10" t="str">
        <x:f>VLOOKUP(B361,'Lookups &amp; Notes'!$A$4:$B$5,2,FALSE)</x:f>
        <x:v>Horeca</x:v>
      </x:c>
      <x:c r="K361" s="10" t="str">
        <x:f>VLOOKUP(C361,'Lookups &amp; Notes'!$A$8:$B$10,2,FALSE)</x:f>
        <x:v>Other</x:v>
      </x:c>
      <x:c r="L361" s="10" t="n">
        <x:f>SUM(D361:I361)</x:f>
        <x:v>31833</x:v>
      </x:c>
      <x:c r="M361" s="39" t="n">
        <x:f>IFERROR(F361/L361,0)</x:f>
        <x:v>0.05214714290201992</x:v>
      </x:c>
      <x:c r="N361" s="38" t="str">
        <x:f>IF(L361&gt;='Lookups &amp; Notes'!$E$4,"High Value","Standard")</x:f>
        <x:v>High Value</x:v>
      </x:c>
    </x:row>
    <x:row r="362">
      <x:c r="A362" s="38" t="str">
        <x:v>CUST-360</x:v>
      </x:c>
      <x:c r="B362" s="38" t="n">
        <x:f>'Raw Data'!A362</x:f>
        <x:v>1</x:v>
      </x:c>
      <x:c r="C362" s="38" t="n">
        <x:f>'Raw Data'!B362</x:f>
        <x:v>3</x:v>
      </x:c>
      <x:c r="D362" s="10" t="n">
        <x:f>'Raw Data'!C362</x:f>
        <x:v>796</x:v>
      </x:c>
      <x:c r="E362" s="10" t="n">
        <x:f>'Raw Data'!D362</x:f>
        <x:v>5878</x:v>
      </x:c>
      <x:c r="F362" s="10" t="n">
        <x:f>'Raw Data'!E362</x:f>
        <x:v>2109</x:v>
      </x:c>
      <x:c r="G362" s="10" t="n">
        <x:f>'Raw Data'!F362</x:f>
        <x:v>340</x:v>
      </x:c>
      <x:c r="H362" s="10" t="n">
        <x:f>'Raw Data'!G362</x:f>
        <x:v>232</x:v>
      </x:c>
      <x:c r="I362" s="10" t="n">
        <x:f>'Raw Data'!H362</x:f>
        <x:v>776</x:v>
      </x:c>
      <x:c r="J362" s="10" t="str">
        <x:f>VLOOKUP(B362,'Lookups &amp; Notes'!$A$4:$B$5,2,FALSE)</x:f>
        <x:v>Horeca</x:v>
      </x:c>
      <x:c r="K362" s="10" t="str">
        <x:f>VLOOKUP(C362,'Lookups &amp; Notes'!$A$8:$B$10,2,FALSE)</x:f>
        <x:v>Other</x:v>
      </x:c>
      <x:c r="L362" s="10" t="n">
        <x:f>SUM(D362:I362)</x:f>
        <x:v>10131</x:v>
      </x:c>
      <x:c r="M362" s="39" t="n">
        <x:f>IFERROR(F362/L362,0)</x:f>
        <x:v>0.20817293455729938</x:v>
      </x:c>
      <x:c r="N362" s="38" t="str">
        <x:f>IF(L362&gt;='Lookups &amp; Notes'!$E$4,"High Value","Standard")</x:f>
        <x:v>Standard</x:v>
      </x:c>
    </x:row>
    <x:row r="363">
      <x:c r="A363" s="38" t="str">
        <x:v>CUST-361</x:v>
      </x:c>
      <x:c r="B363" s="38" t="n">
        <x:f>'Raw Data'!A363</x:f>
        <x:v>1</x:v>
      </x:c>
      <x:c r="C363" s="38" t="n">
        <x:f>'Raw Data'!B363</x:f>
        <x:v>3</x:v>
      </x:c>
      <x:c r="D363" s="10" t="n">
        <x:f>'Raw Data'!C363</x:f>
        <x:v>19746</x:v>
      </x:c>
      <x:c r="E363" s="10" t="n">
        <x:f>'Raw Data'!D363</x:f>
        <x:v>2872</x:v>
      </x:c>
      <x:c r="F363" s="10" t="n">
        <x:f>'Raw Data'!E363</x:f>
        <x:v>2006</x:v>
      </x:c>
      <x:c r="G363" s="10" t="n">
        <x:f>'Raw Data'!F363</x:f>
        <x:v>2601</x:v>
      </x:c>
      <x:c r="H363" s="10" t="n">
        <x:f>'Raw Data'!G363</x:f>
        <x:v>468</x:v>
      </x:c>
      <x:c r="I363" s="10" t="n">
        <x:f>'Raw Data'!H363</x:f>
        <x:v>503</x:v>
      </x:c>
      <x:c r="J363" s="10" t="str">
        <x:f>VLOOKUP(B363,'Lookups &amp; Notes'!$A$4:$B$5,2,FALSE)</x:f>
        <x:v>Horeca</x:v>
      </x:c>
      <x:c r="K363" s="10" t="str">
        <x:f>VLOOKUP(C363,'Lookups &amp; Notes'!$A$8:$B$10,2,FALSE)</x:f>
        <x:v>Other</x:v>
      </x:c>
      <x:c r="L363" s="10" t="n">
        <x:f>SUM(D363:I363)</x:f>
        <x:v>28196</x:v>
      </x:c>
      <x:c r="M363" s="39" t="n">
        <x:f>IFERROR(F363/L363,0)</x:f>
        <x:v>0.0711448432401759</x:v>
      </x:c>
      <x:c r="N363" s="38" t="str">
        <x:f>IF(L363&gt;='Lookups &amp; Notes'!$E$4,"High Value","Standard")</x:f>
        <x:v>High Value</x:v>
      </x:c>
    </x:row>
    <x:row r="364">
      <x:c r="A364" s="38" t="str">
        <x:v>CUST-362</x:v>
      </x:c>
      <x:c r="B364" s="38" t="n">
        <x:f>'Raw Data'!A364</x:f>
        <x:v>1</x:v>
      </x:c>
      <x:c r="C364" s="38" t="n">
        <x:f>'Raw Data'!B364</x:f>
        <x:v>3</x:v>
      </x:c>
      <x:c r="D364" s="10" t="n">
        <x:f>'Raw Data'!C364</x:f>
        <x:v>4734</x:v>
      </x:c>
      <x:c r="E364" s="10" t="n">
        <x:f>'Raw Data'!D364</x:f>
        <x:v>607</x:v>
      </x:c>
      <x:c r="F364" s="10" t="n">
        <x:f>'Raw Data'!E364</x:f>
        <x:v>864</x:v>
      </x:c>
      <x:c r="G364" s="10" t="n">
        <x:f>'Raw Data'!F364</x:f>
        <x:v>1206</x:v>
      </x:c>
      <x:c r="H364" s="10" t="n">
        <x:f>'Raw Data'!G364</x:f>
        <x:v>159</x:v>
      </x:c>
      <x:c r="I364" s="10" t="n">
        <x:f>'Raw Data'!H364</x:f>
        <x:v>405</x:v>
      </x:c>
      <x:c r="J364" s="10" t="str">
        <x:f>VLOOKUP(B364,'Lookups &amp; Notes'!$A$4:$B$5,2,FALSE)</x:f>
        <x:v>Horeca</x:v>
      </x:c>
      <x:c r="K364" s="10" t="str">
        <x:f>VLOOKUP(C364,'Lookups &amp; Notes'!$A$8:$B$10,2,FALSE)</x:f>
        <x:v>Other</x:v>
      </x:c>
      <x:c r="L364" s="10" t="n">
        <x:f>SUM(D364:I364)</x:f>
        <x:v>7975</x:v>
      </x:c>
      <x:c r="M364" s="39" t="n">
        <x:f>IFERROR(F364/L364,0)</x:f>
        <x:v>0.1083385579937304</x:v>
      </x:c>
      <x:c r="N364" s="38" t="str">
        <x:f>IF(L364&gt;='Lookups &amp; Notes'!$E$4,"High Value","Standard")</x:f>
        <x:v>Standard</x:v>
      </x:c>
    </x:row>
    <x:row r="365">
      <x:c r="A365" s="38" t="str">
        <x:v>CUST-363</x:v>
      </x:c>
      <x:c r="B365" s="38" t="n">
        <x:f>'Raw Data'!A365</x:f>
        <x:v>1</x:v>
      </x:c>
      <x:c r="C365" s="38" t="n">
        <x:f>'Raw Data'!B365</x:f>
        <x:v>3</x:v>
      </x:c>
      <x:c r="D365" s="10" t="n">
        <x:f>'Raw Data'!C365</x:f>
        <x:v>2121</x:v>
      </x:c>
      <x:c r="E365" s="10" t="n">
        <x:f>'Raw Data'!D365</x:f>
        <x:v>1601</x:v>
      </x:c>
      <x:c r="F365" s="10" t="n">
        <x:f>'Raw Data'!E365</x:f>
        <x:v>2453</x:v>
      </x:c>
      <x:c r="G365" s="10" t="n">
        <x:f>'Raw Data'!F365</x:f>
        <x:v>560</x:v>
      </x:c>
      <x:c r="H365" s="10" t="n">
        <x:f>'Raw Data'!G365</x:f>
        <x:v>179</x:v>
      </x:c>
      <x:c r="I365" s="10" t="n">
        <x:f>'Raw Data'!H365</x:f>
        <x:v>712</x:v>
      </x:c>
      <x:c r="J365" s="10" t="str">
        <x:f>VLOOKUP(B365,'Lookups &amp; Notes'!$A$4:$B$5,2,FALSE)</x:f>
        <x:v>Horeca</x:v>
      </x:c>
      <x:c r="K365" s="10" t="str">
        <x:f>VLOOKUP(C365,'Lookups &amp; Notes'!$A$8:$B$10,2,FALSE)</x:f>
        <x:v>Other</x:v>
      </x:c>
      <x:c r="L365" s="10" t="n">
        <x:f>SUM(D365:I365)</x:f>
        <x:v>7626</x:v>
      </x:c>
      <x:c r="M365" s="39" t="n">
        <x:f>IFERROR(F365/L365,0)</x:f>
        <x:v>0.3216627327563598</x:v>
      </x:c>
      <x:c r="N365" s="38" t="str">
        <x:f>IF(L365&gt;='Lookups &amp; Notes'!$E$4,"High Value","Standard")</x:f>
        <x:v>Standard</x:v>
      </x:c>
    </x:row>
    <x:row r="366">
      <x:c r="A366" s="38" t="str">
        <x:v>CUST-364</x:v>
      </x:c>
      <x:c r="B366" s="38" t="n">
        <x:f>'Raw Data'!A366</x:f>
        <x:v>1</x:v>
      </x:c>
      <x:c r="C366" s="38" t="n">
        <x:f>'Raw Data'!B366</x:f>
        <x:v>3</x:v>
      </x:c>
      <x:c r="D366" s="10" t="n">
        <x:f>'Raw Data'!C366</x:f>
        <x:v>4627</x:v>
      </x:c>
      <x:c r="E366" s="10" t="n">
        <x:f>'Raw Data'!D366</x:f>
        <x:v>997</x:v>
      </x:c>
      <x:c r="F366" s="10" t="n">
        <x:f>'Raw Data'!E366</x:f>
        <x:v>4438</x:v>
      </x:c>
      <x:c r="G366" s="10" t="n">
        <x:f>'Raw Data'!F366</x:f>
        <x:v>191</x:v>
      </x:c>
      <x:c r="H366" s="10" t="n">
        <x:f>'Raw Data'!G366</x:f>
        <x:v>1335</x:v>
      </x:c>
      <x:c r="I366" s="10" t="n">
        <x:f>'Raw Data'!H366</x:f>
        <x:v>314</x:v>
      </x:c>
      <x:c r="J366" s="10" t="str">
        <x:f>VLOOKUP(B366,'Lookups &amp; Notes'!$A$4:$B$5,2,FALSE)</x:f>
        <x:v>Horeca</x:v>
      </x:c>
      <x:c r="K366" s="10" t="str">
        <x:f>VLOOKUP(C366,'Lookups &amp; Notes'!$A$8:$B$10,2,FALSE)</x:f>
        <x:v>Other</x:v>
      </x:c>
      <x:c r="L366" s="10" t="n">
        <x:f>SUM(D366:I366)</x:f>
        <x:v>11902</x:v>
      </x:c>
      <x:c r="M366" s="39" t="n">
        <x:f>IFERROR(F366/L366,0)</x:f>
        <x:v>0.3728785078138128</x:v>
      </x:c>
      <x:c r="N366" s="38" t="str">
        <x:f>IF(L366&gt;='Lookups &amp; Notes'!$E$4,"High Value","Standard")</x:f>
        <x:v>Standard</x:v>
      </x:c>
    </x:row>
    <x:row r="367">
      <x:c r="A367" s="38" t="str">
        <x:v>CUST-365</x:v>
      </x:c>
      <x:c r="B367" s="38" t="n">
        <x:f>'Raw Data'!A367</x:f>
        <x:v>1</x:v>
      </x:c>
      <x:c r="C367" s="38" t="n">
        <x:f>'Raw Data'!B367</x:f>
        <x:v>3</x:v>
      </x:c>
      <x:c r="D367" s="10" t="n">
        <x:f>'Raw Data'!C367</x:f>
        <x:v>2615</x:v>
      </x:c>
      <x:c r="E367" s="10" t="n">
        <x:f>'Raw Data'!D367</x:f>
        <x:v>873</x:v>
      </x:c>
      <x:c r="F367" s="10" t="n">
        <x:f>'Raw Data'!E367</x:f>
        <x:v>1524</x:v>
      </x:c>
      <x:c r="G367" s="10" t="n">
        <x:f>'Raw Data'!F367</x:f>
        <x:v>1103</x:v>
      </x:c>
      <x:c r="H367" s="10" t="n">
        <x:f>'Raw Data'!G367</x:f>
        <x:v>514</x:v>
      </x:c>
      <x:c r="I367" s="10" t="n">
        <x:f>'Raw Data'!H367</x:f>
        <x:v>468</x:v>
      </x:c>
      <x:c r="J367" s="10" t="str">
        <x:f>VLOOKUP(B367,'Lookups &amp; Notes'!$A$4:$B$5,2,FALSE)</x:f>
        <x:v>Horeca</x:v>
      </x:c>
      <x:c r="K367" s="10" t="str">
        <x:f>VLOOKUP(C367,'Lookups &amp; Notes'!$A$8:$B$10,2,FALSE)</x:f>
        <x:v>Other</x:v>
      </x:c>
      <x:c r="L367" s="10" t="n">
        <x:f>SUM(D367:I367)</x:f>
        <x:v>7097</x:v>
      </x:c>
      <x:c r="M367" s="39" t="n">
        <x:f>IFERROR(F367/L367,0)</x:f>
        <x:v>0.21473862195293786</x:v>
      </x:c>
      <x:c r="N367" s="38" t="str">
        <x:f>IF(L367&gt;='Lookups &amp; Notes'!$E$4,"High Value","Standard")</x:f>
        <x:v>Standard</x:v>
      </x:c>
    </x:row>
    <x:row r="368">
      <x:c r="A368" s="38" t="str">
        <x:v>CUST-366</x:v>
      </x:c>
      <x:c r="B368" s="38" t="n">
        <x:f>'Raw Data'!A368</x:f>
        <x:v>2</x:v>
      </x:c>
      <x:c r="C368" s="38" t="n">
        <x:f>'Raw Data'!B368</x:f>
        <x:v>3</x:v>
      </x:c>
      <x:c r="D368" s="10" t="n">
        <x:f>'Raw Data'!C368</x:f>
        <x:v>4692</x:v>
      </x:c>
      <x:c r="E368" s="10" t="n">
        <x:f>'Raw Data'!D368</x:f>
        <x:v>6128</x:v>
      </x:c>
      <x:c r="F368" s="10" t="n">
        <x:f>'Raw Data'!E368</x:f>
        <x:v>8025</x:v>
      </x:c>
      <x:c r="G368" s="10" t="n">
        <x:f>'Raw Data'!F368</x:f>
        <x:v>1619</x:v>
      </x:c>
      <x:c r="H368" s="10" t="n">
        <x:f>'Raw Data'!G368</x:f>
        <x:v>4515</x:v>
      </x:c>
      <x:c r="I368" s="10" t="n">
        <x:f>'Raw Data'!H368</x:f>
        <x:v>3105</x:v>
      </x:c>
      <x:c r="J368" s="10" t="str">
        <x:f>VLOOKUP(B368,'Lookups &amp; Notes'!$A$4:$B$5,2,FALSE)</x:f>
        <x:v>Retail</x:v>
      </x:c>
      <x:c r="K368" s="10" t="str">
        <x:f>VLOOKUP(C368,'Lookups &amp; Notes'!$A$8:$B$10,2,FALSE)</x:f>
        <x:v>Other</x:v>
      </x:c>
      <x:c r="L368" s="10" t="n">
        <x:f>SUM(D368:I368)</x:f>
        <x:v>28084</x:v>
      </x:c>
      <x:c r="M368" s="39" t="n">
        <x:f>IFERROR(F368/L368,0)</x:f>
        <x:v>0.28574989317761</x:v>
      </x:c>
      <x:c r="N368" s="38" t="str">
        <x:f>IF(L368&gt;='Lookups &amp; Notes'!$E$4,"High Value","Standard")</x:f>
        <x:v>High Value</x:v>
      </x:c>
    </x:row>
    <x:row r="369">
      <x:c r="A369" s="38" t="str">
        <x:v>CUST-367</x:v>
      </x:c>
      <x:c r="B369" s="38" t="n">
        <x:f>'Raw Data'!A369</x:f>
        <x:v>1</x:v>
      </x:c>
      <x:c r="C369" s="38" t="n">
        <x:f>'Raw Data'!B369</x:f>
        <x:v>3</x:v>
      </x:c>
      <x:c r="D369" s="10" t="n">
        <x:f>'Raw Data'!C369</x:f>
        <x:v>9561</x:v>
      </x:c>
      <x:c r="E369" s="10" t="n">
        <x:f>'Raw Data'!D369</x:f>
        <x:v>2217</x:v>
      </x:c>
      <x:c r="F369" s="10" t="n">
        <x:f>'Raw Data'!E369</x:f>
        <x:v>1664</x:v>
      </x:c>
      <x:c r="G369" s="10" t="n">
        <x:f>'Raw Data'!F369</x:f>
        <x:v>1173</x:v>
      </x:c>
      <x:c r="H369" s="10" t="n">
        <x:f>'Raw Data'!G369</x:f>
        <x:v>222</x:v>
      </x:c>
      <x:c r="I369" s="10" t="n">
        <x:f>'Raw Data'!H369</x:f>
        <x:v>447</x:v>
      </x:c>
      <x:c r="J369" s="10" t="str">
        <x:f>VLOOKUP(B369,'Lookups &amp; Notes'!$A$4:$B$5,2,FALSE)</x:f>
        <x:v>Horeca</x:v>
      </x:c>
      <x:c r="K369" s="10" t="str">
        <x:f>VLOOKUP(C369,'Lookups &amp; Notes'!$A$8:$B$10,2,FALSE)</x:f>
        <x:v>Other</x:v>
      </x:c>
      <x:c r="L369" s="10" t="n">
        <x:f>SUM(D369:I369)</x:f>
        <x:v>15284</x:v>
      </x:c>
      <x:c r="M369" s="39" t="n">
        <x:f>IFERROR(F369/L369,0)</x:f>
        <x:v>0.10887202303062025</x:v>
      </x:c>
      <x:c r="N369" s="38" t="str">
        <x:f>IF(L369&gt;='Lookups &amp; Notes'!$E$4,"High Value","Standard")</x:f>
        <x:v>Standard</x:v>
      </x:c>
    </x:row>
    <x:row r="370">
      <x:c r="A370" s="38" t="str">
        <x:v>CUST-368</x:v>
      </x:c>
      <x:c r="B370" s="38" t="n">
        <x:f>'Raw Data'!A370</x:f>
        <x:v>1</x:v>
      </x:c>
      <x:c r="C370" s="38" t="n">
        <x:f>'Raw Data'!B370</x:f>
        <x:v>3</x:v>
      </x:c>
      <x:c r="D370" s="10" t="n">
        <x:f>'Raw Data'!C370</x:f>
        <x:v>3477</x:v>
      </x:c>
      <x:c r="E370" s="10" t="n">
        <x:f>'Raw Data'!D370</x:f>
        <x:v>894</x:v>
      </x:c>
      <x:c r="F370" s="10" t="n">
        <x:f>'Raw Data'!E370</x:f>
        <x:v>534</x:v>
      </x:c>
      <x:c r="G370" s="10" t="n">
        <x:f>'Raw Data'!F370</x:f>
        <x:v>1457</x:v>
      </x:c>
      <x:c r="H370" s="10" t="n">
        <x:f>'Raw Data'!G370</x:f>
        <x:v>252</x:v>
      </x:c>
      <x:c r="I370" s="10" t="n">
        <x:f>'Raw Data'!H370</x:f>
        <x:v>342</x:v>
      </x:c>
      <x:c r="J370" s="10" t="str">
        <x:f>VLOOKUP(B370,'Lookups &amp; Notes'!$A$4:$B$5,2,FALSE)</x:f>
        <x:v>Horeca</x:v>
      </x:c>
      <x:c r="K370" s="10" t="str">
        <x:f>VLOOKUP(C370,'Lookups &amp; Notes'!$A$8:$B$10,2,FALSE)</x:f>
        <x:v>Other</x:v>
      </x:c>
      <x:c r="L370" s="10" t="n">
        <x:f>SUM(D370:I370)</x:f>
        <x:v>6956</x:v>
      </x:c>
      <x:c r="M370" s="39" t="n">
        <x:f>IFERROR(F370/L370,0)</x:f>
        <x:v>0.07676825761932145</x:v>
      </x:c>
      <x:c r="N370" s="38" t="str">
        <x:f>IF(L370&gt;='Lookups &amp; Notes'!$E$4,"High Value","Standard")</x:f>
        <x:v>Standard</x:v>
      </x:c>
    </x:row>
    <x:row r="371">
      <x:c r="A371" s="38" t="str">
        <x:v>CUST-369</x:v>
      </x:c>
      <x:c r="B371" s="38" t="n">
        <x:f>'Raw Data'!A371</x:f>
        <x:v>1</x:v>
      </x:c>
      <x:c r="C371" s="38" t="n">
        <x:f>'Raw Data'!B371</x:f>
        <x:v>3</x:v>
      </x:c>
      <x:c r="D371" s="10" t="n">
        <x:f>'Raw Data'!C371</x:f>
        <x:v>22335</x:v>
      </x:c>
      <x:c r="E371" s="10" t="n">
        <x:f>'Raw Data'!D371</x:f>
        <x:v>1196</x:v>
      </x:c>
      <x:c r="F371" s="10" t="n">
        <x:f>'Raw Data'!E371</x:f>
        <x:v>2406</x:v>
      </x:c>
      <x:c r="G371" s="10" t="n">
        <x:f>'Raw Data'!F371</x:f>
        <x:v>2046</x:v>
      </x:c>
      <x:c r="H371" s="10" t="n">
        <x:f>'Raw Data'!G371</x:f>
        <x:v>101</x:v>
      </x:c>
      <x:c r="I371" s="10" t="n">
        <x:f>'Raw Data'!H371</x:f>
        <x:v>558</x:v>
      </x:c>
      <x:c r="J371" s="10" t="str">
        <x:f>VLOOKUP(B371,'Lookups &amp; Notes'!$A$4:$B$5,2,FALSE)</x:f>
        <x:v>Horeca</x:v>
      </x:c>
      <x:c r="K371" s="10" t="str">
        <x:f>VLOOKUP(C371,'Lookups &amp; Notes'!$A$8:$B$10,2,FALSE)</x:f>
        <x:v>Other</x:v>
      </x:c>
      <x:c r="L371" s="10" t="n">
        <x:f>SUM(D371:I371)</x:f>
        <x:v>28642</x:v>
      </x:c>
      <x:c r="M371" s="39" t="n">
        <x:f>IFERROR(F371/L371,0)</x:f>
        <x:v>0.08400251379093639</x:v>
      </x:c>
      <x:c r="N371" s="38" t="str">
        <x:f>IF(L371&gt;='Lookups &amp; Notes'!$E$4,"High Value","Standard")</x:f>
        <x:v>High Value</x:v>
      </x:c>
    </x:row>
    <x:row r="372">
      <x:c r="A372" s="38" t="str">
        <x:v>CUST-370</x:v>
      </x:c>
      <x:c r="B372" s="38" t="n">
        <x:f>'Raw Data'!A372</x:f>
        <x:v>1</x:v>
      </x:c>
      <x:c r="C372" s="38" t="n">
        <x:f>'Raw Data'!B372</x:f>
        <x:v>3</x:v>
      </x:c>
      <x:c r="D372" s="10" t="n">
        <x:f>'Raw Data'!C372</x:f>
        <x:v>6211</x:v>
      </x:c>
      <x:c r="E372" s="10" t="n">
        <x:f>'Raw Data'!D372</x:f>
        <x:v>337</x:v>
      </x:c>
      <x:c r="F372" s="10" t="n">
        <x:f>'Raw Data'!E372</x:f>
        <x:v>683</x:v>
      </x:c>
      <x:c r="G372" s="10" t="n">
        <x:f>'Raw Data'!F372</x:f>
        <x:v>1089</x:v>
      </x:c>
      <x:c r="H372" s="10" t="n">
        <x:f>'Raw Data'!G372</x:f>
        <x:v>41</x:v>
      </x:c>
      <x:c r="I372" s="10" t="n">
        <x:f>'Raw Data'!H372</x:f>
        <x:v>296</x:v>
      </x:c>
      <x:c r="J372" s="10" t="str">
        <x:f>VLOOKUP(B372,'Lookups &amp; Notes'!$A$4:$B$5,2,FALSE)</x:f>
        <x:v>Horeca</x:v>
      </x:c>
      <x:c r="K372" s="10" t="str">
        <x:f>VLOOKUP(C372,'Lookups &amp; Notes'!$A$8:$B$10,2,FALSE)</x:f>
        <x:v>Other</x:v>
      </x:c>
      <x:c r="L372" s="10" t="n">
        <x:f>SUM(D372:I372)</x:f>
        <x:v>8657</x:v>
      </x:c>
      <x:c r="M372" s="39" t="n">
        <x:f>IFERROR(F372/L372,0)</x:f>
        <x:v>0.07889569134804204</x:v>
      </x:c>
      <x:c r="N372" s="38" t="str">
        <x:f>IF(L372&gt;='Lookups &amp; Notes'!$E$4,"High Value","Standard")</x:f>
        <x:v>Standard</x:v>
      </x:c>
    </x:row>
    <x:row r="373">
      <x:c r="A373" s="38" t="str">
        <x:v>CUST-371</x:v>
      </x:c>
      <x:c r="B373" s="38" t="n">
        <x:f>'Raw Data'!A373</x:f>
        <x:v>2</x:v>
      </x:c>
      <x:c r="C373" s="38" t="n">
        <x:f>'Raw Data'!B373</x:f>
        <x:v>3</x:v>
      </x:c>
      <x:c r="D373" s="10" t="n">
        <x:f>'Raw Data'!C373</x:f>
        <x:v>39679</x:v>
      </x:c>
      <x:c r="E373" s="10" t="n">
        <x:f>'Raw Data'!D373</x:f>
        <x:v>3944</x:v>
      </x:c>
      <x:c r="F373" s="10" t="n">
        <x:f>'Raw Data'!E373</x:f>
        <x:v>4955</x:v>
      </x:c>
      <x:c r="G373" s="10" t="n">
        <x:f>'Raw Data'!F373</x:f>
        <x:v>1364</x:v>
      </x:c>
      <x:c r="H373" s="10" t="n">
        <x:f>'Raw Data'!G373</x:f>
        <x:v>523</x:v>
      </x:c>
      <x:c r="I373" s="10" t="n">
        <x:f>'Raw Data'!H373</x:f>
        <x:v>2235</x:v>
      </x:c>
      <x:c r="J373" s="10" t="str">
        <x:f>VLOOKUP(B373,'Lookups &amp; Notes'!$A$4:$B$5,2,FALSE)</x:f>
        <x:v>Retail</x:v>
      </x:c>
      <x:c r="K373" s="10" t="str">
        <x:f>VLOOKUP(C373,'Lookups &amp; Notes'!$A$8:$B$10,2,FALSE)</x:f>
        <x:v>Other</x:v>
      </x:c>
      <x:c r="L373" s="10" t="n">
        <x:f>SUM(D373:I373)</x:f>
        <x:v>52700</x:v>
      </x:c>
      <x:c r="M373" s="39" t="n">
        <x:f>IFERROR(F373/L373,0)</x:f>
        <x:v>0.09402277039848198</x:v>
      </x:c>
      <x:c r="N373" s="38" t="str">
        <x:f>IF(L373&gt;='Lookups &amp; Notes'!$E$4,"High Value","Standard")</x:f>
        <x:v>High Value</x:v>
      </x:c>
    </x:row>
    <x:row r="374">
      <x:c r="A374" s="38" t="str">
        <x:v>CUST-372</x:v>
      </x:c>
      <x:c r="B374" s="38" t="n">
        <x:f>'Raw Data'!A374</x:f>
        <x:v>1</x:v>
      </x:c>
      <x:c r="C374" s="38" t="n">
        <x:f>'Raw Data'!B374</x:f>
        <x:v>3</x:v>
      </x:c>
      <x:c r="D374" s="10" t="n">
        <x:f>'Raw Data'!C374</x:f>
        <x:v>20105</x:v>
      </x:c>
      <x:c r="E374" s="10" t="n">
        <x:f>'Raw Data'!D374</x:f>
        <x:v>1887</x:v>
      </x:c>
      <x:c r="F374" s="10" t="n">
        <x:f>'Raw Data'!E374</x:f>
        <x:v>1939</x:v>
      </x:c>
      <x:c r="G374" s="10" t="n">
        <x:f>'Raw Data'!F374</x:f>
        <x:v>8164</x:v>
      </x:c>
      <x:c r="H374" s="10" t="n">
        <x:f>'Raw Data'!G374</x:f>
        <x:v>716</x:v>
      </x:c>
      <x:c r="I374" s="10" t="n">
        <x:f>'Raw Data'!H374</x:f>
        <x:v>790</x:v>
      </x:c>
      <x:c r="J374" s="10" t="str">
        <x:f>VLOOKUP(B374,'Lookups &amp; Notes'!$A$4:$B$5,2,FALSE)</x:f>
        <x:v>Horeca</x:v>
      </x:c>
      <x:c r="K374" s="10" t="str">
        <x:f>VLOOKUP(C374,'Lookups &amp; Notes'!$A$8:$B$10,2,FALSE)</x:f>
        <x:v>Other</x:v>
      </x:c>
      <x:c r="L374" s="10" t="n">
        <x:f>SUM(D374:I374)</x:f>
        <x:v>33601</x:v>
      </x:c>
      <x:c r="M374" s="39" t="n">
        <x:f>IFERROR(F374/L374,0)</x:f>
        <x:v>0.05770661587452754</x:v>
      </x:c>
      <x:c r="N374" s="38" t="str">
        <x:f>IF(L374&gt;='Lookups &amp; Notes'!$E$4,"High Value","Standard")</x:f>
        <x:v>High Value</x:v>
      </x:c>
    </x:row>
    <x:row r="375">
      <x:c r="A375" s="38" t="str">
        <x:v>CUST-373</x:v>
      </x:c>
      <x:c r="B375" s="38" t="n">
        <x:f>'Raw Data'!A375</x:f>
        <x:v>1</x:v>
      </x:c>
      <x:c r="C375" s="38" t="n">
        <x:f>'Raw Data'!B375</x:f>
        <x:v>3</x:v>
      </x:c>
      <x:c r="D375" s="10" t="n">
        <x:f>'Raw Data'!C375</x:f>
        <x:v>3884</x:v>
      </x:c>
      <x:c r="E375" s="10" t="n">
        <x:f>'Raw Data'!D375</x:f>
        <x:v>3801</x:v>
      </x:c>
      <x:c r="F375" s="10" t="n">
        <x:f>'Raw Data'!E375</x:f>
        <x:v>1641</x:v>
      </x:c>
      <x:c r="G375" s="10" t="n">
        <x:f>'Raw Data'!F375</x:f>
        <x:v>876</x:v>
      </x:c>
      <x:c r="H375" s="10" t="n">
        <x:f>'Raw Data'!G375</x:f>
        <x:v>397</x:v>
      </x:c>
      <x:c r="I375" s="10" t="n">
        <x:f>'Raw Data'!H375</x:f>
        <x:v>4829</x:v>
      </x:c>
      <x:c r="J375" s="10" t="str">
        <x:f>VLOOKUP(B375,'Lookups &amp; Notes'!$A$4:$B$5,2,FALSE)</x:f>
        <x:v>Horeca</x:v>
      </x:c>
      <x:c r="K375" s="10" t="str">
        <x:f>VLOOKUP(C375,'Lookups &amp; Notes'!$A$8:$B$10,2,FALSE)</x:f>
        <x:v>Other</x:v>
      </x:c>
      <x:c r="L375" s="10" t="n">
        <x:f>SUM(D375:I375)</x:f>
        <x:v>15428</x:v>
      </x:c>
      <x:c r="M375" s="39" t="n">
        <x:f>IFERROR(F375/L375,0)</x:f>
        <x:v>0.10636505055742805</x:v>
      </x:c>
      <x:c r="N375" s="38" t="str">
        <x:f>IF(L375&gt;='Lookups &amp; Notes'!$E$4,"High Value","Standard")</x:f>
        <x:v>Standard</x:v>
      </x:c>
    </x:row>
    <x:row r="376">
      <x:c r="A376" s="38" t="str">
        <x:v>CUST-374</x:v>
      </x:c>
      <x:c r="B376" s="38" t="n">
        <x:f>'Raw Data'!A376</x:f>
        <x:v>2</x:v>
      </x:c>
      <x:c r="C376" s="38" t="n">
        <x:f>'Raw Data'!B376</x:f>
        <x:v>3</x:v>
      </x:c>
      <x:c r="D376" s="10" t="n">
        <x:f>'Raw Data'!C376</x:f>
        <x:v>15076</x:v>
      </x:c>
      <x:c r="E376" s="10" t="n">
        <x:f>'Raw Data'!D376</x:f>
        <x:v>6257</x:v>
      </x:c>
      <x:c r="F376" s="10" t="n">
        <x:f>'Raw Data'!E376</x:f>
        <x:v>7398</x:v>
      </x:c>
      <x:c r="G376" s="10" t="n">
        <x:f>'Raw Data'!F376</x:f>
        <x:v>1504</x:v>
      </x:c>
      <x:c r="H376" s="10" t="n">
        <x:f>'Raw Data'!G376</x:f>
        <x:v>1916</x:v>
      </x:c>
      <x:c r="I376" s="10" t="n">
        <x:f>'Raw Data'!H376</x:f>
        <x:v>3113</x:v>
      </x:c>
      <x:c r="J376" s="10" t="str">
        <x:f>VLOOKUP(B376,'Lookups &amp; Notes'!$A$4:$B$5,2,FALSE)</x:f>
        <x:v>Retail</x:v>
      </x:c>
      <x:c r="K376" s="10" t="str">
        <x:f>VLOOKUP(C376,'Lookups &amp; Notes'!$A$8:$B$10,2,FALSE)</x:f>
        <x:v>Other</x:v>
      </x:c>
      <x:c r="L376" s="10" t="n">
        <x:f>SUM(D376:I376)</x:f>
        <x:v>35264</x:v>
      </x:c>
      <x:c r="M376" s="39" t="n">
        <x:f>IFERROR(F376/L376,0)</x:f>
        <x:v>0.20978901996370236</x:v>
      </x:c>
      <x:c r="N376" s="38" t="str">
        <x:f>IF(L376&gt;='Lookups &amp; Notes'!$E$4,"High Value","Standard")</x:f>
        <x:v>High Value</x:v>
      </x:c>
    </x:row>
    <x:row r="377">
      <x:c r="A377" s="38" t="str">
        <x:v>CUST-375</x:v>
      </x:c>
      <x:c r="B377" s="38" t="n">
        <x:f>'Raw Data'!A377</x:f>
        <x:v>1</x:v>
      </x:c>
      <x:c r="C377" s="38" t="n">
        <x:f>'Raw Data'!B377</x:f>
        <x:v>3</x:v>
      </x:c>
      <x:c r="D377" s="10" t="n">
        <x:f>'Raw Data'!C377</x:f>
        <x:v>6338</x:v>
      </x:c>
      <x:c r="E377" s="10" t="n">
        <x:f>'Raw Data'!D377</x:f>
        <x:v>2256</x:v>
      </x:c>
      <x:c r="F377" s="10" t="n">
        <x:f>'Raw Data'!E377</x:f>
        <x:v>1668</x:v>
      </x:c>
      <x:c r="G377" s="10" t="n">
        <x:f>'Raw Data'!F377</x:f>
        <x:v>1492</x:v>
      </x:c>
      <x:c r="H377" s="10" t="n">
        <x:f>'Raw Data'!G377</x:f>
        <x:v>311</x:v>
      </x:c>
      <x:c r="I377" s="10" t="n">
        <x:f>'Raw Data'!H377</x:f>
        <x:v>686</x:v>
      </x:c>
      <x:c r="J377" s="10" t="str">
        <x:f>VLOOKUP(B377,'Lookups &amp; Notes'!$A$4:$B$5,2,FALSE)</x:f>
        <x:v>Horeca</x:v>
      </x:c>
      <x:c r="K377" s="10" t="str">
        <x:f>VLOOKUP(C377,'Lookups &amp; Notes'!$A$8:$B$10,2,FALSE)</x:f>
        <x:v>Other</x:v>
      </x:c>
      <x:c r="L377" s="10" t="n">
        <x:f>SUM(D377:I377)</x:f>
        <x:v>12751</x:v>
      </x:c>
      <x:c r="M377" s="39" t="n">
        <x:f>IFERROR(F377/L377,0)</x:f>
        <x:v>0.13081326954748648</x:v>
      </x:c>
      <x:c r="N377" s="38" t="str">
        <x:f>IF(L377&gt;='Lookups &amp; Notes'!$E$4,"High Value","Standard")</x:f>
        <x:v>Standard</x:v>
      </x:c>
    </x:row>
    <x:row r="378">
      <x:c r="A378" s="38" t="str">
        <x:v>CUST-376</x:v>
      </x:c>
      <x:c r="B378" s="38" t="n">
        <x:f>'Raw Data'!A378</x:f>
        <x:v>1</x:v>
      </x:c>
      <x:c r="C378" s="38" t="n">
        <x:f>'Raw Data'!B378</x:f>
        <x:v>3</x:v>
      </x:c>
      <x:c r="D378" s="10" t="n">
        <x:f>'Raw Data'!C378</x:f>
        <x:v>5841</x:v>
      </x:c>
      <x:c r="E378" s="10" t="n">
        <x:f>'Raw Data'!D378</x:f>
        <x:v>1450</x:v>
      </x:c>
      <x:c r="F378" s="10" t="n">
        <x:f>'Raw Data'!E378</x:f>
        <x:v>1162</x:v>
      </x:c>
      <x:c r="G378" s="10" t="n">
        <x:f>'Raw Data'!F378</x:f>
        <x:v>597</x:v>
      </x:c>
      <x:c r="H378" s="10" t="n">
        <x:f>'Raw Data'!G378</x:f>
        <x:v>476</x:v>
      </x:c>
      <x:c r="I378" s="10" t="n">
        <x:f>'Raw Data'!H378</x:f>
        <x:v>70</x:v>
      </x:c>
      <x:c r="J378" s="10" t="str">
        <x:f>VLOOKUP(B378,'Lookups &amp; Notes'!$A$4:$B$5,2,FALSE)</x:f>
        <x:v>Horeca</x:v>
      </x:c>
      <x:c r="K378" s="10" t="str">
        <x:f>VLOOKUP(C378,'Lookups &amp; Notes'!$A$8:$B$10,2,FALSE)</x:f>
        <x:v>Other</x:v>
      </x:c>
      <x:c r="L378" s="10" t="n">
        <x:f>SUM(D378:I378)</x:f>
        <x:v>9596</x:v>
      </x:c>
      <x:c r="M378" s="39" t="n">
        <x:f>IFERROR(F378/L378,0)</x:f>
        <x:v>0.12109212171738225</x:v>
      </x:c>
      <x:c r="N378" s="38" t="str">
        <x:f>IF(L378&gt;='Lookups &amp; Notes'!$E$4,"High Value","Standard")</x:f>
        <x:v>Standard</x:v>
      </x:c>
    </x:row>
    <x:row r="379">
      <x:c r="A379" s="38" t="str">
        <x:v>CUST-377</x:v>
      </x:c>
      <x:c r="B379" s="38" t="n">
        <x:f>'Raw Data'!A379</x:f>
        <x:v>2</x:v>
      </x:c>
      <x:c r="C379" s="38" t="n">
        <x:f>'Raw Data'!B379</x:f>
        <x:v>3</x:v>
      </x:c>
      <x:c r="D379" s="10" t="n">
        <x:f>'Raw Data'!C379</x:f>
        <x:v>3136</x:v>
      </x:c>
      <x:c r="E379" s="10" t="n">
        <x:f>'Raw Data'!D379</x:f>
        <x:v>8630</x:v>
      </x:c>
      <x:c r="F379" s="10" t="n">
        <x:f>'Raw Data'!E379</x:f>
        <x:v>13586</x:v>
      </x:c>
      <x:c r="G379" s="10" t="n">
        <x:f>'Raw Data'!F379</x:f>
        <x:v>5641</x:v>
      </x:c>
      <x:c r="H379" s="10" t="n">
        <x:f>'Raw Data'!G379</x:f>
        <x:v>4666</x:v>
      </x:c>
      <x:c r="I379" s="10" t="n">
        <x:f>'Raw Data'!H379</x:f>
        <x:v>1426</x:v>
      </x:c>
      <x:c r="J379" s="10" t="str">
        <x:f>VLOOKUP(B379,'Lookups &amp; Notes'!$A$4:$B$5,2,FALSE)</x:f>
        <x:v>Retail</x:v>
      </x:c>
      <x:c r="K379" s="10" t="str">
        <x:f>VLOOKUP(C379,'Lookups &amp; Notes'!$A$8:$B$10,2,FALSE)</x:f>
        <x:v>Other</x:v>
      </x:c>
      <x:c r="L379" s="10" t="n">
        <x:f>SUM(D379:I379)</x:f>
        <x:v>37085</x:v>
      </x:c>
      <x:c r="M379" s="39" t="n">
        <x:f>IFERROR(F379/L379,0)</x:f>
        <x:v>0.36634757988405015</x:v>
      </x:c>
      <x:c r="N379" s="38" t="str">
        <x:f>IF(L379&gt;='Lookups &amp; Notes'!$E$4,"High Value","Standard")</x:f>
        <x:v>High Value</x:v>
      </x:c>
    </x:row>
    <x:row r="380">
      <x:c r="A380" s="38" t="str">
        <x:v>CUST-378</x:v>
      </x:c>
      <x:c r="B380" s="38" t="n">
        <x:f>'Raw Data'!A380</x:f>
        <x:v>1</x:v>
      </x:c>
      <x:c r="C380" s="38" t="n">
        <x:f>'Raw Data'!B380</x:f>
        <x:v>3</x:v>
      </x:c>
      <x:c r="D380" s="10" t="n">
        <x:f>'Raw Data'!C380</x:f>
        <x:v>38793</x:v>
      </x:c>
      <x:c r="E380" s="10" t="n">
        <x:f>'Raw Data'!D380</x:f>
        <x:v>3154</x:v>
      </x:c>
      <x:c r="F380" s="10" t="n">
        <x:f>'Raw Data'!E380</x:f>
        <x:v>2648</x:v>
      </x:c>
      <x:c r="G380" s="10" t="n">
        <x:f>'Raw Data'!F380</x:f>
        <x:v>1034</x:v>
      </x:c>
      <x:c r="H380" s="10" t="n">
        <x:f>'Raw Data'!G380</x:f>
        <x:v>96</x:v>
      </x:c>
      <x:c r="I380" s="10" t="n">
        <x:f>'Raw Data'!H380</x:f>
        <x:v>1242</x:v>
      </x:c>
      <x:c r="J380" s="10" t="str">
        <x:f>VLOOKUP(B380,'Lookups &amp; Notes'!$A$4:$B$5,2,FALSE)</x:f>
        <x:v>Horeca</x:v>
      </x:c>
      <x:c r="K380" s="10" t="str">
        <x:f>VLOOKUP(C380,'Lookups &amp; Notes'!$A$8:$B$10,2,FALSE)</x:f>
        <x:v>Other</x:v>
      </x:c>
      <x:c r="L380" s="10" t="n">
        <x:f>SUM(D380:I380)</x:f>
        <x:v>46967</x:v>
      </x:c>
      <x:c r="M380" s="39" t="n">
        <x:f>IFERROR(F380/L380,0)</x:f>
        <x:v>0.05638001149743437</x:v>
      </x:c>
      <x:c r="N380" s="38" t="str">
        <x:f>IF(L380&gt;='Lookups &amp; Notes'!$E$4,"High Value","Standard")</x:f>
        <x:v>High Value</x:v>
      </x:c>
    </x:row>
    <x:row r="381">
      <x:c r="A381" s="38" t="str">
        <x:v>CUST-379</x:v>
      </x:c>
      <x:c r="B381" s="38" t="n">
        <x:f>'Raw Data'!A381</x:f>
        <x:v>1</x:v>
      </x:c>
      <x:c r="C381" s="38" t="n">
        <x:f>'Raw Data'!B381</x:f>
        <x:v>3</x:v>
      </x:c>
      <x:c r="D381" s="10" t="n">
        <x:f>'Raw Data'!C381</x:f>
        <x:v>3225</x:v>
      </x:c>
      <x:c r="E381" s="10" t="n">
        <x:f>'Raw Data'!D381</x:f>
        <x:v>3294</x:v>
      </x:c>
      <x:c r="F381" s="10" t="n">
        <x:f>'Raw Data'!E381</x:f>
        <x:v>1902</x:v>
      </x:c>
      <x:c r="G381" s="10" t="n">
        <x:f>'Raw Data'!F381</x:f>
        <x:v>282</x:v>
      </x:c>
      <x:c r="H381" s="10" t="n">
        <x:f>'Raw Data'!G381</x:f>
        <x:v>68</x:v>
      </x:c>
      <x:c r="I381" s="10" t="n">
        <x:f>'Raw Data'!H381</x:f>
        <x:v>1114</x:v>
      </x:c>
      <x:c r="J381" s="10" t="str">
        <x:f>VLOOKUP(B381,'Lookups &amp; Notes'!$A$4:$B$5,2,FALSE)</x:f>
        <x:v>Horeca</x:v>
      </x:c>
      <x:c r="K381" s="10" t="str">
        <x:f>VLOOKUP(C381,'Lookups &amp; Notes'!$A$8:$B$10,2,FALSE)</x:f>
        <x:v>Other</x:v>
      </x:c>
      <x:c r="L381" s="10" t="n">
        <x:f>SUM(D381:I381)</x:f>
        <x:v>9885</x:v>
      </x:c>
      <x:c r="M381" s="39" t="n">
        <x:f>IFERROR(F381/L381,0)</x:f>
        <x:v>0.19241274658573596</x:v>
      </x:c>
      <x:c r="N381" s="38" t="str">
        <x:f>IF(L381&gt;='Lookups &amp; Notes'!$E$4,"High Value","Standard")</x:f>
        <x:v>Standard</x:v>
      </x:c>
    </x:row>
    <x:row r="382">
      <x:c r="A382" s="38" t="str">
        <x:v>CUST-380</x:v>
      </x:c>
      <x:c r="B382" s="38" t="n">
        <x:f>'Raw Data'!A382</x:f>
        <x:v>2</x:v>
      </x:c>
      <x:c r="C382" s="38" t="n">
        <x:f>'Raw Data'!B382</x:f>
        <x:v>3</x:v>
      </x:c>
      <x:c r="D382" s="10" t="n">
        <x:f>'Raw Data'!C382</x:f>
        <x:v>4048</x:v>
      </x:c>
      <x:c r="E382" s="10" t="n">
        <x:f>'Raw Data'!D382</x:f>
        <x:v>5164</x:v>
      </x:c>
      <x:c r="F382" s="10" t="n">
        <x:f>'Raw Data'!E382</x:f>
        <x:v>10391</x:v>
      </x:c>
      <x:c r="G382" s="10" t="n">
        <x:f>'Raw Data'!F382</x:f>
        <x:v>130</x:v>
      </x:c>
      <x:c r="H382" s="10" t="n">
        <x:f>'Raw Data'!G382</x:f>
        <x:v>813</x:v>
      </x:c>
      <x:c r="I382" s="10" t="n">
        <x:f>'Raw Data'!H382</x:f>
        <x:v>179</x:v>
      </x:c>
      <x:c r="J382" s="10" t="str">
        <x:f>VLOOKUP(B382,'Lookups &amp; Notes'!$A$4:$B$5,2,FALSE)</x:f>
        <x:v>Retail</x:v>
      </x:c>
      <x:c r="K382" s="10" t="str">
        <x:f>VLOOKUP(C382,'Lookups &amp; Notes'!$A$8:$B$10,2,FALSE)</x:f>
        <x:v>Other</x:v>
      </x:c>
      <x:c r="L382" s="10" t="n">
        <x:f>SUM(D382:I382)</x:f>
        <x:v>20725</x:v>
      </x:c>
      <x:c r="M382" s="39" t="n">
        <x:f>IFERROR(F382/L382,0)</x:f>
        <x:v>0.5013751507840772</x:v>
      </x:c>
      <x:c r="N382" s="38" t="str">
        <x:f>IF(L382&gt;='Lookups &amp; Notes'!$E$4,"High Value","Standard")</x:f>
        <x:v>Standard</x:v>
      </x:c>
    </x:row>
    <x:row r="383">
      <x:c r="A383" s="38" t="str">
        <x:v>CUST-381</x:v>
      </x:c>
      <x:c r="B383" s="38" t="n">
        <x:f>'Raw Data'!A383</x:f>
        <x:v>1</x:v>
      </x:c>
      <x:c r="C383" s="38" t="n">
        <x:f>'Raw Data'!B383</x:f>
        <x:v>3</x:v>
      </x:c>
      <x:c r="D383" s="10" t="n">
        <x:f>'Raw Data'!C383</x:f>
        <x:v>28257</x:v>
      </x:c>
      <x:c r="E383" s="10" t="n">
        <x:f>'Raw Data'!D383</x:f>
        <x:v>944</x:v>
      </x:c>
      <x:c r="F383" s="10" t="n">
        <x:f>'Raw Data'!E383</x:f>
        <x:v>2146</x:v>
      </x:c>
      <x:c r="G383" s="10" t="n">
        <x:f>'Raw Data'!F383</x:f>
        <x:v>3881</x:v>
      </x:c>
      <x:c r="H383" s="10" t="n">
        <x:f>'Raw Data'!G383</x:f>
        <x:v>600</x:v>
      </x:c>
      <x:c r="I383" s="10" t="n">
        <x:f>'Raw Data'!H383</x:f>
        <x:v>270</x:v>
      </x:c>
      <x:c r="J383" s="10" t="str">
        <x:f>VLOOKUP(B383,'Lookups &amp; Notes'!$A$4:$B$5,2,FALSE)</x:f>
        <x:v>Horeca</x:v>
      </x:c>
      <x:c r="K383" s="10" t="str">
        <x:f>VLOOKUP(C383,'Lookups &amp; Notes'!$A$8:$B$10,2,FALSE)</x:f>
        <x:v>Other</x:v>
      </x:c>
      <x:c r="L383" s="10" t="n">
        <x:f>SUM(D383:I383)</x:f>
        <x:v>36098</x:v>
      </x:c>
      <x:c r="M383" s="39" t="n">
        <x:f>IFERROR(F383/L383,0)</x:f>
        <x:v>0.05944927696825309</x:v>
      </x:c>
      <x:c r="N383" s="38" t="str">
        <x:f>IF(L383&gt;='Lookups &amp; Notes'!$E$4,"High Value","Standard")</x:f>
        <x:v>High Value</x:v>
      </x:c>
    </x:row>
    <x:row r="384">
      <x:c r="A384" s="38" t="str">
        <x:v>CUST-382</x:v>
      </x:c>
      <x:c r="B384" s="38" t="n">
        <x:f>'Raw Data'!A384</x:f>
        <x:v>1</x:v>
      </x:c>
      <x:c r="C384" s="38" t="n">
        <x:f>'Raw Data'!B384</x:f>
        <x:v>3</x:v>
      </x:c>
      <x:c r="D384" s="10" t="n">
        <x:f>'Raw Data'!C384</x:f>
        <x:v>17770</x:v>
      </x:c>
      <x:c r="E384" s="10" t="n">
        <x:f>'Raw Data'!D384</x:f>
        <x:v>4591</x:v>
      </x:c>
      <x:c r="F384" s="10" t="n">
        <x:f>'Raw Data'!E384</x:f>
        <x:v>1617</x:v>
      </x:c>
      <x:c r="G384" s="10" t="n">
        <x:f>'Raw Data'!F384</x:f>
        <x:v>9927</x:v>
      </x:c>
      <x:c r="H384" s="10" t="n">
        <x:f>'Raw Data'!G384</x:f>
        <x:v>246</x:v>
      </x:c>
      <x:c r="I384" s="10" t="n">
        <x:f>'Raw Data'!H384</x:f>
        <x:v>532</x:v>
      </x:c>
      <x:c r="J384" s="10" t="str">
        <x:f>VLOOKUP(B384,'Lookups &amp; Notes'!$A$4:$B$5,2,FALSE)</x:f>
        <x:v>Horeca</x:v>
      </x:c>
      <x:c r="K384" s="10" t="str">
        <x:f>VLOOKUP(C384,'Lookups &amp; Notes'!$A$8:$B$10,2,FALSE)</x:f>
        <x:v>Other</x:v>
      </x:c>
      <x:c r="L384" s="10" t="n">
        <x:f>SUM(D384:I384)</x:f>
        <x:v>34683</x:v>
      </x:c>
      <x:c r="M384" s="39" t="n">
        <x:f>IFERROR(F384/L384,0)</x:f>
        <x:v>0.046622264509990484</x:v>
      </x:c>
      <x:c r="N384" s="38" t="str">
        <x:f>IF(L384&gt;='Lookups &amp; Notes'!$E$4,"High Value","Standard")</x:f>
        <x:v>High Value</x:v>
      </x:c>
    </x:row>
    <x:row r="385">
      <x:c r="A385" s="38" t="str">
        <x:v>CUST-383</x:v>
      </x:c>
      <x:c r="B385" s="38" t="n">
        <x:f>'Raw Data'!A385</x:f>
        <x:v>1</x:v>
      </x:c>
      <x:c r="C385" s="38" t="n">
        <x:f>'Raw Data'!B385</x:f>
        <x:v>3</x:v>
      </x:c>
      <x:c r="D385" s="10" t="n">
        <x:f>'Raw Data'!C385</x:f>
        <x:v>34454</x:v>
      </x:c>
      <x:c r="E385" s="10" t="n">
        <x:f>'Raw Data'!D385</x:f>
        <x:v>7435</x:v>
      </x:c>
      <x:c r="F385" s="10" t="n">
        <x:f>'Raw Data'!E385</x:f>
        <x:v>8469</x:v>
      </x:c>
      <x:c r="G385" s="10" t="n">
        <x:f>'Raw Data'!F385</x:f>
        <x:v>2540</x:v>
      </x:c>
      <x:c r="H385" s="10" t="n">
        <x:f>'Raw Data'!G385</x:f>
        <x:v>1711</x:v>
      </x:c>
      <x:c r="I385" s="10" t="n">
        <x:f>'Raw Data'!H385</x:f>
        <x:v>2893</x:v>
      </x:c>
      <x:c r="J385" s="10" t="str">
        <x:f>VLOOKUP(B385,'Lookups &amp; Notes'!$A$4:$B$5,2,FALSE)</x:f>
        <x:v>Horeca</x:v>
      </x:c>
      <x:c r="K385" s="10" t="str">
        <x:f>VLOOKUP(C385,'Lookups &amp; Notes'!$A$8:$B$10,2,FALSE)</x:f>
        <x:v>Other</x:v>
      </x:c>
      <x:c r="L385" s="10" t="n">
        <x:f>SUM(D385:I385)</x:f>
        <x:v>57502</x:v>
      </x:c>
      <x:c r="M385" s="39" t="n">
        <x:f>IFERROR(F385/L385,0)</x:f>
        <x:v>0.14728183367535042</x:v>
      </x:c>
      <x:c r="N385" s="38" t="str">
        <x:f>IF(L385&gt;='Lookups &amp; Notes'!$E$4,"High Value","Standard")</x:f>
        <x:v>High Value</x:v>
      </x:c>
    </x:row>
    <x:row r="386">
      <x:c r="A386" s="38" t="str">
        <x:v>CUST-384</x:v>
      </x:c>
      <x:c r="B386" s="38" t="n">
        <x:f>'Raw Data'!A386</x:f>
        <x:v>1</x:v>
      </x:c>
      <x:c r="C386" s="38" t="n">
        <x:f>'Raw Data'!B386</x:f>
        <x:v>3</x:v>
      </x:c>
      <x:c r="D386" s="10" t="n">
        <x:f>'Raw Data'!C386</x:f>
        <x:v>1821</x:v>
      </x:c>
      <x:c r="E386" s="10" t="n">
        <x:f>'Raw Data'!D386</x:f>
        <x:v>1364</x:v>
      </x:c>
      <x:c r="F386" s="10" t="n">
        <x:f>'Raw Data'!E386</x:f>
        <x:v>3450</x:v>
      </x:c>
      <x:c r="G386" s="10" t="n">
        <x:f>'Raw Data'!F386</x:f>
        <x:v>4006</x:v>
      </x:c>
      <x:c r="H386" s="10" t="n">
        <x:f>'Raw Data'!G386</x:f>
        <x:v>397</x:v>
      </x:c>
      <x:c r="I386" s="10" t="n">
        <x:f>'Raw Data'!H386</x:f>
        <x:v>361</x:v>
      </x:c>
      <x:c r="J386" s="10" t="str">
        <x:f>VLOOKUP(B386,'Lookups &amp; Notes'!$A$4:$B$5,2,FALSE)</x:f>
        <x:v>Horeca</x:v>
      </x:c>
      <x:c r="K386" s="10" t="str">
        <x:f>VLOOKUP(C386,'Lookups &amp; Notes'!$A$8:$B$10,2,FALSE)</x:f>
        <x:v>Other</x:v>
      </x:c>
      <x:c r="L386" s="10" t="n">
        <x:f>SUM(D386:I386)</x:f>
        <x:v>11399</x:v>
      </x:c>
      <x:c r="M386" s="39" t="n">
        <x:f>IFERROR(F386/L386,0)</x:f>
        <x:v>0.30265812790595664</x:v>
      </x:c>
      <x:c r="N386" s="38" t="str">
        <x:f>IF(L386&gt;='Lookups &amp; Notes'!$E$4,"High Value","Standard")</x:f>
        <x:v>Standard</x:v>
      </x:c>
    </x:row>
    <x:row r="387">
      <x:c r="A387" s="38" t="str">
        <x:v>CUST-385</x:v>
      </x:c>
      <x:c r="B387" s="38" t="n">
        <x:f>'Raw Data'!A387</x:f>
        <x:v>1</x:v>
      </x:c>
      <x:c r="C387" s="38" t="n">
        <x:f>'Raw Data'!B387</x:f>
        <x:v>3</x:v>
      </x:c>
      <x:c r="D387" s="10" t="n">
        <x:f>'Raw Data'!C387</x:f>
        <x:v>10683</x:v>
      </x:c>
      <x:c r="E387" s="10" t="n">
        <x:f>'Raw Data'!D387</x:f>
        <x:v>21858</x:v>
      </x:c>
      <x:c r="F387" s="10" t="n">
        <x:f>'Raw Data'!E387</x:f>
        <x:v>15400</x:v>
      </x:c>
      <x:c r="G387" s="10" t="n">
        <x:f>'Raw Data'!F387</x:f>
        <x:v>3635</x:v>
      </x:c>
      <x:c r="H387" s="10" t="n">
        <x:f>'Raw Data'!G387</x:f>
        <x:v>282</x:v>
      </x:c>
      <x:c r="I387" s="10" t="n">
        <x:f>'Raw Data'!H387</x:f>
        <x:v>5120</x:v>
      </x:c>
      <x:c r="J387" s="10" t="str">
        <x:f>VLOOKUP(B387,'Lookups &amp; Notes'!$A$4:$B$5,2,FALSE)</x:f>
        <x:v>Horeca</x:v>
      </x:c>
      <x:c r="K387" s="10" t="str">
        <x:f>VLOOKUP(C387,'Lookups &amp; Notes'!$A$8:$B$10,2,FALSE)</x:f>
        <x:v>Other</x:v>
      </x:c>
      <x:c r="L387" s="10" t="n">
        <x:f>SUM(D387:I387)</x:f>
        <x:v>56978</x:v>
      </x:c>
      <x:c r="M387" s="39" t="n">
        <x:f>IFERROR(F387/L387,0)</x:f>
        <x:v>0.2702797570992313</x:v>
      </x:c>
      <x:c r="N387" s="38" t="str">
        <x:f>IF(L387&gt;='Lookups &amp; Notes'!$E$4,"High Value","Standard")</x:f>
        <x:v>High Value</x:v>
      </x:c>
    </x:row>
    <x:row r="388">
      <x:c r="A388" s="38" t="str">
        <x:v>CUST-386</x:v>
      </x:c>
      <x:c r="B388" s="38" t="n">
        <x:f>'Raw Data'!A388</x:f>
        <x:v>1</x:v>
      </x:c>
      <x:c r="C388" s="38" t="n">
        <x:f>'Raw Data'!B388</x:f>
        <x:v>3</x:v>
      </x:c>
      <x:c r="D388" s="10" t="n">
        <x:f>'Raw Data'!C388</x:f>
        <x:v>11635</x:v>
      </x:c>
      <x:c r="E388" s="10" t="n">
        <x:f>'Raw Data'!D388</x:f>
        <x:v>922</x:v>
      </x:c>
      <x:c r="F388" s="10" t="n">
        <x:f>'Raw Data'!E388</x:f>
        <x:v>1614</x:v>
      </x:c>
      <x:c r="G388" s="10" t="n">
        <x:f>'Raw Data'!F388</x:f>
        <x:v>2583</x:v>
      </x:c>
      <x:c r="H388" s="10" t="n">
        <x:f>'Raw Data'!G388</x:f>
        <x:v>192</x:v>
      </x:c>
      <x:c r="I388" s="10" t="n">
        <x:f>'Raw Data'!H388</x:f>
        <x:v>1068</x:v>
      </x:c>
      <x:c r="J388" s="10" t="str">
        <x:f>VLOOKUP(B388,'Lookups &amp; Notes'!$A$4:$B$5,2,FALSE)</x:f>
        <x:v>Horeca</x:v>
      </x:c>
      <x:c r="K388" s="10" t="str">
        <x:f>VLOOKUP(C388,'Lookups &amp; Notes'!$A$8:$B$10,2,FALSE)</x:f>
        <x:v>Other</x:v>
      </x:c>
      <x:c r="L388" s="10" t="n">
        <x:f>SUM(D388:I388)</x:f>
        <x:v>18014</x:v>
      </x:c>
      <x:c r="M388" s="39" t="n">
        <x:f>IFERROR(F388/L388,0)</x:f>
        <x:v>0.08959698012656822</x:v>
      </x:c>
      <x:c r="N388" s="38" t="str">
        <x:f>IF(L388&gt;='Lookups &amp; Notes'!$E$4,"High Value","Standard")</x:f>
        <x:v>Standard</x:v>
      </x:c>
    </x:row>
    <x:row r="389">
      <x:c r="A389" s="38" t="str">
        <x:v>CUST-387</x:v>
      </x:c>
      <x:c r="B389" s="38" t="n">
        <x:f>'Raw Data'!A389</x:f>
        <x:v>1</x:v>
      </x:c>
      <x:c r="C389" s="38" t="n">
        <x:f>'Raw Data'!B389</x:f>
        <x:v>3</x:v>
      </x:c>
      <x:c r="D389" s="10" t="n">
        <x:f>'Raw Data'!C389</x:f>
        <x:v>1206</x:v>
      </x:c>
      <x:c r="E389" s="10" t="n">
        <x:f>'Raw Data'!D389</x:f>
        <x:v>3620</x:v>
      </x:c>
      <x:c r="F389" s="10" t="n">
        <x:f>'Raw Data'!E389</x:f>
        <x:v>2857</x:v>
      </x:c>
      <x:c r="G389" s="10" t="n">
        <x:f>'Raw Data'!F389</x:f>
        <x:v>1945</x:v>
      </x:c>
      <x:c r="H389" s="10" t="n">
        <x:f>'Raw Data'!G389</x:f>
        <x:v>353</x:v>
      </x:c>
      <x:c r="I389" s="10" t="n">
        <x:f>'Raw Data'!H389</x:f>
        <x:v>967</x:v>
      </x:c>
      <x:c r="J389" s="10" t="str">
        <x:f>VLOOKUP(B389,'Lookups &amp; Notes'!$A$4:$B$5,2,FALSE)</x:f>
        <x:v>Horeca</x:v>
      </x:c>
      <x:c r="K389" s="10" t="str">
        <x:f>VLOOKUP(C389,'Lookups &amp; Notes'!$A$8:$B$10,2,FALSE)</x:f>
        <x:v>Other</x:v>
      </x:c>
      <x:c r="L389" s="10" t="n">
        <x:f>SUM(D389:I389)</x:f>
        <x:v>10948</x:v>
      </x:c>
      <x:c r="M389" s="39" t="n">
        <x:f>IFERROR(F389/L389,0)</x:f>
        <x:v>0.2609609061015711</x:v>
      </x:c>
      <x:c r="N389" s="38" t="str">
        <x:f>IF(L389&gt;='Lookups &amp; Notes'!$E$4,"High Value","Standard")</x:f>
        <x:v>Standard</x:v>
      </x:c>
    </x:row>
    <x:row r="390">
      <x:c r="A390" s="38" t="str">
        <x:v>CUST-388</x:v>
      </x:c>
      <x:c r="B390" s="38" t="n">
        <x:f>'Raw Data'!A390</x:f>
        <x:v>1</x:v>
      </x:c>
      <x:c r="C390" s="38" t="n">
        <x:f>'Raw Data'!B390</x:f>
        <x:v>3</x:v>
      </x:c>
      <x:c r="D390" s="10" t="n">
        <x:f>'Raw Data'!C390</x:f>
        <x:v>20918</x:v>
      </x:c>
      <x:c r="E390" s="10" t="n">
        <x:f>'Raw Data'!D390</x:f>
        <x:v>1916</x:v>
      </x:c>
      <x:c r="F390" s="10" t="n">
        <x:f>'Raw Data'!E390</x:f>
        <x:v>1573</x:v>
      </x:c>
      <x:c r="G390" s="10" t="n">
        <x:f>'Raw Data'!F390</x:f>
        <x:v>1960</x:v>
      </x:c>
      <x:c r="H390" s="10" t="n">
        <x:f>'Raw Data'!G390</x:f>
        <x:v>231</x:v>
      </x:c>
      <x:c r="I390" s="10" t="n">
        <x:f>'Raw Data'!H390</x:f>
        <x:v>961</x:v>
      </x:c>
      <x:c r="J390" s="10" t="str">
        <x:f>VLOOKUP(B390,'Lookups &amp; Notes'!$A$4:$B$5,2,FALSE)</x:f>
        <x:v>Horeca</x:v>
      </x:c>
      <x:c r="K390" s="10" t="str">
        <x:f>VLOOKUP(C390,'Lookups &amp; Notes'!$A$8:$B$10,2,FALSE)</x:f>
        <x:v>Other</x:v>
      </x:c>
      <x:c r="L390" s="10" t="n">
        <x:f>SUM(D390:I390)</x:f>
        <x:v>27559</x:v>
      </x:c>
      <x:c r="M390" s="39" t="n">
        <x:f>IFERROR(F390/L390,0)</x:f>
        <x:v>0.057077542726514024</x:v>
      </x:c>
      <x:c r="N390" s="38" t="str">
        <x:f>IF(L390&gt;='Lookups &amp; Notes'!$E$4,"High Value","Standard")</x:f>
        <x:v>High Value</x:v>
      </x:c>
    </x:row>
    <x:row r="391">
      <x:c r="A391" s="38" t="str">
        <x:v>CUST-389</x:v>
      </x:c>
      <x:c r="B391" s="38" t="n">
        <x:f>'Raw Data'!A391</x:f>
        <x:v>1</x:v>
      </x:c>
      <x:c r="C391" s="38" t="n">
        <x:f>'Raw Data'!B391</x:f>
        <x:v>3</x:v>
      </x:c>
      <x:c r="D391" s="10" t="n">
        <x:f>'Raw Data'!C391</x:f>
        <x:v>9785</x:v>
      </x:c>
      <x:c r="E391" s="10" t="n">
        <x:f>'Raw Data'!D391</x:f>
        <x:v>848</x:v>
      </x:c>
      <x:c r="F391" s="10" t="n">
        <x:f>'Raw Data'!E391</x:f>
        <x:v>1172</x:v>
      </x:c>
      <x:c r="G391" s="10" t="n">
        <x:f>'Raw Data'!F391</x:f>
        <x:v>1677</x:v>
      </x:c>
      <x:c r="H391" s="10" t="n">
        <x:f>'Raw Data'!G391</x:f>
        <x:v>200</x:v>
      </x:c>
      <x:c r="I391" s="10" t="n">
        <x:f>'Raw Data'!H391</x:f>
        <x:v>406</x:v>
      </x:c>
      <x:c r="J391" s="10" t="str">
        <x:f>VLOOKUP(B391,'Lookups &amp; Notes'!$A$4:$B$5,2,FALSE)</x:f>
        <x:v>Horeca</x:v>
      </x:c>
      <x:c r="K391" s="10" t="str">
        <x:f>VLOOKUP(C391,'Lookups &amp; Notes'!$A$8:$B$10,2,FALSE)</x:f>
        <x:v>Other</x:v>
      </x:c>
      <x:c r="L391" s="10" t="n">
        <x:f>SUM(D391:I391)</x:f>
        <x:v>14088</x:v>
      </x:c>
      <x:c r="M391" s="39" t="n">
        <x:f>IFERROR(F391/L391,0)</x:f>
        <x:v>0.08319136854060193</x:v>
      </x:c>
      <x:c r="N391" s="38" t="str">
        <x:f>IF(L391&gt;='Lookups &amp; Notes'!$E$4,"High Value","Standard")</x:f>
        <x:v>Standard</x:v>
      </x:c>
    </x:row>
    <x:row r="392">
      <x:c r="A392" s="38" t="str">
        <x:v>CUST-390</x:v>
      </x:c>
      <x:c r="B392" s="38" t="n">
        <x:f>'Raw Data'!A392</x:f>
        <x:v>1</x:v>
      </x:c>
      <x:c r="C392" s="38" t="n">
        <x:f>'Raw Data'!B392</x:f>
        <x:v>3</x:v>
      </x:c>
      <x:c r="D392" s="10" t="n">
        <x:f>'Raw Data'!C392</x:f>
        <x:v>9385</x:v>
      </x:c>
      <x:c r="E392" s="10" t="n">
        <x:f>'Raw Data'!D392</x:f>
        <x:v>1530</x:v>
      </x:c>
      <x:c r="F392" s="10" t="n">
        <x:f>'Raw Data'!E392</x:f>
        <x:v>1422</x:v>
      </x:c>
      <x:c r="G392" s="10" t="n">
        <x:f>'Raw Data'!F392</x:f>
        <x:v>3019</x:v>
      </x:c>
      <x:c r="H392" s="10" t="n">
        <x:f>'Raw Data'!G392</x:f>
        <x:v>227</x:v>
      </x:c>
      <x:c r="I392" s="10" t="n">
        <x:f>'Raw Data'!H392</x:f>
        <x:v>684</x:v>
      </x:c>
      <x:c r="J392" s="10" t="str">
        <x:f>VLOOKUP(B392,'Lookups &amp; Notes'!$A$4:$B$5,2,FALSE)</x:f>
        <x:v>Horeca</x:v>
      </x:c>
      <x:c r="K392" s="10" t="str">
        <x:f>VLOOKUP(C392,'Lookups &amp; Notes'!$A$8:$B$10,2,FALSE)</x:f>
        <x:v>Other</x:v>
      </x:c>
      <x:c r="L392" s="10" t="n">
        <x:f>SUM(D392:I392)</x:f>
        <x:v>16267</x:v>
      </x:c>
      <x:c r="M392" s="39" t="n">
        <x:f>IFERROR(F392/L392,0)</x:f>
        <x:v>0.08741624147046168</x:v>
      </x:c>
      <x:c r="N392" s="38" t="str">
        <x:f>IF(L392&gt;='Lookups &amp; Notes'!$E$4,"High Value","Standard")</x:f>
        <x:v>Standard</x:v>
      </x:c>
    </x:row>
    <x:row r="393">
      <x:c r="A393" s="38" t="str">
        <x:v>CUST-391</x:v>
      </x:c>
      <x:c r="B393" s="38" t="n">
        <x:f>'Raw Data'!A393</x:f>
        <x:v>1</x:v>
      </x:c>
      <x:c r="C393" s="38" t="n">
        <x:f>'Raw Data'!B393</x:f>
        <x:v>3</x:v>
      </x:c>
      <x:c r="D393" s="10" t="n">
        <x:f>'Raw Data'!C393</x:f>
        <x:v>3352</x:v>
      </x:c>
      <x:c r="E393" s="10" t="n">
        <x:f>'Raw Data'!D393</x:f>
        <x:v>1181</x:v>
      </x:c>
      <x:c r="F393" s="10" t="n">
        <x:f>'Raw Data'!E393</x:f>
        <x:v>1328</x:v>
      </x:c>
      <x:c r="G393" s="10" t="n">
        <x:f>'Raw Data'!F393</x:f>
        <x:v>5502</x:v>
      </x:c>
      <x:c r="H393" s="10" t="n">
        <x:f>'Raw Data'!G393</x:f>
        <x:v>311</x:v>
      </x:c>
      <x:c r="I393" s="10" t="n">
        <x:f>'Raw Data'!H393</x:f>
        <x:v>1000</x:v>
      </x:c>
      <x:c r="J393" s="10" t="str">
        <x:f>VLOOKUP(B393,'Lookups &amp; Notes'!$A$4:$B$5,2,FALSE)</x:f>
        <x:v>Horeca</x:v>
      </x:c>
      <x:c r="K393" s="10" t="str">
        <x:f>VLOOKUP(C393,'Lookups &amp; Notes'!$A$8:$B$10,2,FALSE)</x:f>
        <x:v>Other</x:v>
      </x:c>
      <x:c r="L393" s="10" t="n">
        <x:f>SUM(D393:I393)</x:f>
        <x:v>12674</x:v>
      </x:c>
      <x:c r="M393" s="39" t="n">
        <x:f>IFERROR(F393/L393,0)</x:f>
        <x:v>0.10478144232286571</x:v>
      </x:c>
      <x:c r="N393" s="38" t="str">
        <x:f>IF(L393&gt;='Lookups &amp; Notes'!$E$4,"High Value","Standard")</x:f>
        <x:v>Standard</x:v>
      </x:c>
    </x:row>
    <x:row r="394">
      <x:c r="A394" s="38" t="str">
        <x:v>CUST-392</x:v>
      </x:c>
      <x:c r="B394" s="38" t="n">
        <x:f>'Raw Data'!A394</x:f>
        <x:v>1</x:v>
      </x:c>
      <x:c r="C394" s="38" t="n">
        <x:f>'Raw Data'!B394</x:f>
        <x:v>3</x:v>
      </x:c>
      <x:c r="D394" s="10" t="n">
        <x:f>'Raw Data'!C394</x:f>
        <x:v>2647</x:v>
      </x:c>
      <x:c r="E394" s="10" t="n">
        <x:f>'Raw Data'!D394</x:f>
        <x:v>2761</x:v>
      </x:c>
      <x:c r="F394" s="10" t="n">
        <x:f>'Raw Data'!E394</x:f>
        <x:v>2313</x:v>
      </x:c>
      <x:c r="G394" s="10" t="n">
        <x:f>'Raw Data'!F394</x:f>
        <x:v>907</x:v>
      </x:c>
      <x:c r="H394" s="10" t="n">
        <x:f>'Raw Data'!G394</x:f>
        <x:v>95</x:v>
      </x:c>
      <x:c r="I394" s="10" t="n">
        <x:f>'Raw Data'!H394</x:f>
        <x:v>1827</x:v>
      </x:c>
      <x:c r="J394" s="10" t="str">
        <x:f>VLOOKUP(B394,'Lookups &amp; Notes'!$A$4:$B$5,2,FALSE)</x:f>
        <x:v>Horeca</x:v>
      </x:c>
      <x:c r="K394" s="10" t="str">
        <x:f>VLOOKUP(C394,'Lookups &amp; Notes'!$A$8:$B$10,2,FALSE)</x:f>
        <x:v>Other</x:v>
      </x:c>
      <x:c r="L394" s="10" t="n">
        <x:f>SUM(D394:I394)</x:f>
        <x:v>10550</x:v>
      </x:c>
      <x:c r="M394" s="39" t="n">
        <x:f>IFERROR(F394/L394,0)</x:f>
        <x:v>0.21924170616113745</x:v>
      </x:c>
      <x:c r="N394" s="38" t="str">
        <x:f>IF(L394&gt;='Lookups &amp; Notes'!$E$4,"High Value","Standard")</x:f>
        <x:v>Standard</x:v>
      </x:c>
    </x:row>
    <x:row r="395">
      <x:c r="A395" s="38" t="str">
        <x:v>CUST-393</x:v>
      </x:c>
      <x:c r="B395" s="38" t="n">
        <x:f>'Raw Data'!A395</x:f>
        <x:v>1</x:v>
      </x:c>
      <x:c r="C395" s="38" t="n">
        <x:f>'Raw Data'!B395</x:f>
        <x:v>3</x:v>
      </x:c>
      <x:c r="D395" s="10" t="n">
        <x:f>'Raw Data'!C395</x:f>
        <x:v>518</x:v>
      </x:c>
      <x:c r="E395" s="10" t="n">
        <x:f>'Raw Data'!D395</x:f>
        <x:v>4180</x:v>
      </x:c>
      <x:c r="F395" s="10" t="n">
        <x:f>'Raw Data'!E395</x:f>
        <x:v>3600</x:v>
      </x:c>
      <x:c r="G395" s="10" t="n">
        <x:f>'Raw Data'!F395</x:f>
        <x:v>659</x:v>
      </x:c>
      <x:c r="H395" s="10" t="n">
        <x:f>'Raw Data'!G395</x:f>
        <x:v>122</x:v>
      </x:c>
      <x:c r="I395" s="10" t="n">
        <x:f>'Raw Data'!H395</x:f>
        <x:v>654</x:v>
      </x:c>
      <x:c r="J395" s="10" t="str">
        <x:f>VLOOKUP(B395,'Lookups &amp; Notes'!$A$4:$B$5,2,FALSE)</x:f>
        <x:v>Horeca</x:v>
      </x:c>
      <x:c r="K395" s="10" t="str">
        <x:f>VLOOKUP(C395,'Lookups &amp; Notes'!$A$8:$B$10,2,FALSE)</x:f>
        <x:v>Other</x:v>
      </x:c>
      <x:c r="L395" s="10" t="n">
        <x:f>SUM(D395:I395)</x:f>
        <x:v>9733</x:v>
      </x:c>
      <x:c r="M395" s="39" t="n">
        <x:f>IFERROR(F395/L395,0)</x:f>
        <x:v>0.3698756806739957</x:v>
      </x:c>
      <x:c r="N395" s="38" t="str">
        <x:f>IF(L395&gt;='Lookups &amp; Notes'!$E$4,"High Value","Standard")</x:f>
        <x:v>Standard</x:v>
      </x:c>
    </x:row>
    <x:row r="396">
      <x:c r="A396" s="38" t="str">
        <x:v>CUST-394</x:v>
      </x:c>
      <x:c r="B396" s="38" t="n">
        <x:f>'Raw Data'!A396</x:f>
        <x:v>1</x:v>
      </x:c>
      <x:c r="C396" s="38" t="n">
        <x:f>'Raw Data'!B396</x:f>
        <x:v>3</x:v>
      </x:c>
      <x:c r="D396" s="10" t="n">
        <x:f>'Raw Data'!C396</x:f>
        <x:v>23632</x:v>
      </x:c>
      <x:c r="E396" s="10" t="n">
        <x:f>'Raw Data'!D396</x:f>
        <x:v>6730</x:v>
      </x:c>
      <x:c r="F396" s="10" t="n">
        <x:f>'Raw Data'!E396</x:f>
        <x:v>3842</x:v>
      </x:c>
      <x:c r="G396" s="10" t="n">
        <x:f>'Raw Data'!F396</x:f>
        <x:v>8620</x:v>
      </x:c>
      <x:c r="H396" s="10" t="n">
        <x:f>'Raw Data'!G396</x:f>
        <x:v>385</x:v>
      </x:c>
      <x:c r="I396" s="10" t="n">
        <x:f>'Raw Data'!H396</x:f>
        <x:v>819</x:v>
      </x:c>
      <x:c r="J396" s="10" t="str">
        <x:f>VLOOKUP(B396,'Lookups &amp; Notes'!$A$4:$B$5,2,FALSE)</x:f>
        <x:v>Horeca</x:v>
      </x:c>
      <x:c r="K396" s="10" t="str">
        <x:f>VLOOKUP(C396,'Lookups &amp; Notes'!$A$8:$B$10,2,FALSE)</x:f>
        <x:v>Other</x:v>
      </x:c>
      <x:c r="L396" s="10" t="n">
        <x:f>SUM(D396:I396)</x:f>
        <x:v>44028</x:v>
      </x:c>
      <x:c r="M396" s="39" t="n">
        <x:f>IFERROR(F396/L396,0)</x:f>
        <x:v>0.08726265104024712</x:v>
      </x:c>
      <x:c r="N396" s="38" t="str">
        <x:f>IF(L396&gt;='Lookups &amp; Notes'!$E$4,"High Value","Standard")</x:f>
        <x:v>High Value</x:v>
      </x:c>
    </x:row>
    <x:row r="397">
      <x:c r="A397" s="38" t="str">
        <x:v>CUST-395</x:v>
      </x:c>
      <x:c r="B397" s="38" t="n">
        <x:f>'Raw Data'!A397</x:f>
        <x:v>1</x:v>
      </x:c>
      <x:c r="C397" s="38" t="n">
        <x:f>'Raw Data'!B397</x:f>
        <x:v>3</x:v>
      </x:c>
      <x:c r="D397" s="10" t="n">
        <x:f>'Raw Data'!C397</x:f>
        <x:v>12377</x:v>
      </x:c>
      <x:c r="E397" s="10" t="n">
        <x:f>'Raw Data'!D397</x:f>
        <x:v>865</x:v>
      </x:c>
      <x:c r="F397" s="10" t="n">
        <x:f>'Raw Data'!E397</x:f>
        <x:v>3204</x:v>
      </x:c>
      <x:c r="G397" s="10" t="n">
        <x:f>'Raw Data'!F397</x:f>
        <x:v>1398</x:v>
      </x:c>
      <x:c r="H397" s="10" t="n">
        <x:f>'Raw Data'!G397</x:f>
        <x:v>149</x:v>
      </x:c>
      <x:c r="I397" s="10" t="n">
        <x:f>'Raw Data'!H397</x:f>
        <x:v>452</x:v>
      </x:c>
      <x:c r="J397" s="10" t="str">
        <x:f>VLOOKUP(B397,'Lookups &amp; Notes'!$A$4:$B$5,2,FALSE)</x:f>
        <x:v>Horeca</x:v>
      </x:c>
      <x:c r="K397" s="10" t="str">
        <x:f>VLOOKUP(C397,'Lookups &amp; Notes'!$A$8:$B$10,2,FALSE)</x:f>
        <x:v>Other</x:v>
      </x:c>
      <x:c r="L397" s="10" t="n">
        <x:f>SUM(D397:I397)</x:f>
        <x:v>18445</x:v>
      </x:c>
      <x:c r="M397" s="39" t="n">
        <x:f>IFERROR(F397/L397,0)</x:f>
        <x:v>0.17370561127676878</x:v>
      </x:c>
      <x:c r="N397" s="38" t="str">
        <x:f>IF(L397&gt;='Lookups &amp; Notes'!$E$4,"High Value","Standard")</x:f>
        <x:v>Standard</x:v>
      </x:c>
    </x:row>
    <x:row r="398">
      <x:c r="A398" s="38" t="str">
        <x:v>CUST-396</x:v>
      </x:c>
      <x:c r="B398" s="38" t="n">
        <x:f>'Raw Data'!A398</x:f>
        <x:v>1</x:v>
      </x:c>
      <x:c r="C398" s="38" t="n">
        <x:f>'Raw Data'!B398</x:f>
        <x:v>3</x:v>
      </x:c>
      <x:c r="D398" s="10" t="n">
        <x:f>'Raw Data'!C398</x:f>
        <x:v>9602</x:v>
      </x:c>
      <x:c r="E398" s="10" t="n">
        <x:f>'Raw Data'!D398</x:f>
        <x:v>1316</x:v>
      </x:c>
      <x:c r="F398" s="10" t="n">
        <x:f>'Raw Data'!E398</x:f>
        <x:v>1263</x:v>
      </x:c>
      <x:c r="G398" s="10" t="n">
        <x:f>'Raw Data'!F398</x:f>
        <x:v>2921</x:v>
      </x:c>
      <x:c r="H398" s="10" t="n">
        <x:f>'Raw Data'!G398</x:f>
        <x:v>841</x:v>
      </x:c>
      <x:c r="I398" s="10" t="n">
        <x:f>'Raw Data'!H398</x:f>
        <x:v>290</x:v>
      </x:c>
      <x:c r="J398" s="10" t="str">
        <x:f>VLOOKUP(B398,'Lookups &amp; Notes'!$A$4:$B$5,2,FALSE)</x:f>
        <x:v>Horeca</x:v>
      </x:c>
      <x:c r="K398" s="10" t="str">
        <x:f>VLOOKUP(C398,'Lookups &amp; Notes'!$A$8:$B$10,2,FALSE)</x:f>
        <x:v>Other</x:v>
      </x:c>
      <x:c r="L398" s="10" t="n">
        <x:f>SUM(D398:I398)</x:f>
        <x:v>16233</x:v>
      </x:c>
      <x:c r="M398" s="39" t="n">
        <x:f>IFERROR(F398/L398,0)</x:f>
        <x:v>0.07780447237109592</x:v>
      </x:c>
      <x:c r="N398" s="38" t="str">
        <x:f>IF(L398&gt;='Lookups &amp; Notes'!$E$4,"High Value","Standard")</x:f>
        <x:v>Standard</x:v>
      </x:c>
    </x:row>
    <x:row r="399">
      <x:c r="A399" s="38" t="str">
        <x:v>CUST-397</x:v>
      </x:c>
      <x:c r="B399" s="38" t="n">
        <x:f>'Raw Data'!A399</x:f>
        <x:v>2</x:v>
      </x:c>
      <x:c r="C399" s="38" t="n">
        <x:f>'Raw Data'!B399</x:f>
        <x:v>3</x:v>
      </x:c>
      <x:c r="D399" s="10" t="n">
        <x:f>'Raw Data'!C399</x:f>
        <x:v>4515</x:v>
      </x:c>
      <x:c r="E399" s="10" t="n">
        <x:f>'Raw Data'!D399</x:f>
        <x:v>11991</x:v>
      </x:c>
      <x:c r="F399" s="10" t="n">
        <x:f>'Raw Data'!E399</x:f>
        <x:v>9345</x:v>
      </x:c>
      <x:c r="G399" s="10" t="n">
        <x:f>'Raw Data'!F399</x:f>
        <x:v>2644</x:v>
      </x:c>
      <x:c r="H399" s="10" t="n">
        <x:f>'Raw Data'!G399</x:f>
        <x:v>3378</x:v>
      </x:c>
      <x:c r="I399" s="10" t="n">
        <x:f>'Raw Data'!H399</x:f>
        <x:v>2213</x:v>
      </x:c>
      <x:c r="J399" s="10" t="str">
        <x:f>VLOOKUP(B399,'Lookups &amp; Notes'!$A$4:$B$5,2,FALSE)</x:f>
        <x:v>Retail</x:v>
      </x:c>
      <x:c r="K399" s="10" t="str">
        <x:f>VLOOKUP(C399,'Lookups &amp; Notes'!$A$8:$B$10,2,FALSE)</x:f>
        <x:v>Other</x:v>
      </x:c>
      <x:c r="L399" s="10" t="n">
        <x:f>SUM(D399:I399)</x:f>
        <x:v>34086</x:v>
      </x:c>
      <x:c r="M399" s="39" t="n">
        <x:f>IFERROR(F399/L399,0)</x:f>
        <x:v>0.27415947896497095</x:v>
      </x:c>
      <x:c r="N399" s="38" t="str">
        <x:f>IF(L399&gt;='Lookups &amp; Notes'!$E$4,"High Value","Standard")</x:f>
        <x:v>High Value</x:v>
      </x:c>
    </x:row>
    <x:row r="400">
      <x:c r="A400" s="38" t="str">
        <x:v>CUST-398</x:v>
      </x:c>
      <x:c r="B400" s="38" t="n">
        <x:f>'Raw Data'!A400</x:f>
        <x:v>1</x:v>
      </x:c>
      <x:c r="C400" s="38" t="n">
        <x:f>'Raw Data'!B400</x:f>
        <x:v>3</x:v>
      </x:c>
      <x:c r="D400" s="10" t="n">
        <x:f>'Raw Data'!C400</x:f>
        <x:v>11535</x:v>
      </x:c>
      <x:c r="E400" s="10" t="n">
        <x:f>'Raw Data'!D400</x:f>
        <x:v>1666</x:v>
      </x:c>
      <x:c r="F400" s="10" t="n">
        <x:f>'Raw Data'!E400</x:f>
        <x:v>1428</x:v>
      </x:c>
      <x:c r="G400" s="10" t="n">
        <x:f>'Raw Data'!F400</x:f>
        <x:v>6838</x:v>
      </x:c>
      <x:c r="H400" s="10" t="n">
        <x:f>'Raw Data'!G400</x:f>
        <x:v>64</x:v>
      </x:c>
      <x:c r="I400" s="10" t="n">
        <x:f>'Raw Data'!H400</x:f>
        <x:v>743</x:v>
      </x:c>
      <x:c r="J400" s="10" t="str">
        <x:f>VLOOKUP(B400,'Lookups &amp; Notes'!$A$4:$B$5,2,FALSE)</x:f>
        <x:v>Horeca</x:v>
      </x:c>
      <x:c r="K400" s="10" t="str">
        <x:f>VLOOKUP(C400,'Lookups &amp; Notes'!$A$8:$B$10,2,FALSE)</x:f>
        <x:v>Other</x:v>
      </x:c>
      <x:c r="L400" s="10" t="n">
        <x:f>SUM(D400:I400)</x:f>
        <x:v>22274</x:v>
      </x:c>
      <x:c r="M400" s="39" t="n">
        <x:f>IFERROR(F400/L400,0)</x:f>
        <x:v>0.06411062225015714</x:v>
      </x:c>
      <x:c r="N400" s="38" t="str">
        <x:f>IF(L400&gt;='Lookups &amp; Notes'!$E$4,"High Value","Standard")</x:f>
        <x:v>Standard</x:v>
      </x:c>
    </x:row>
    <x:row r="401">
      <x:c r="A401" s="38" t="str">
        <x:v>CUST-399</x:v>
      </x:c>
      <x:c r="B401" s="38" t="n">
        <x:f>'Raw Data'!A401</x:f>
        <x:v>1</x:v>
      </x:c>
      <x:c r="C401" s="38" t="n">
        <x:f>'Raw Data'!B401</x:f>
        <x:v>3</x:v>
      </x:c>
      <x:c r="D401" s="10" t="n">
        <x:f>'Raw Data'!C401</x:f>
        <x:v>11442</x:v>
      </x:c>
      <x:c r="E401" s="10" t="n">
        <x:f>'Raw Data'!D401</x:f>
        <x:v>1032</x:v>
      </x:c>
      <x:c r="F401" s="10" t="n">
        <x:f>'Raw Data'!E401</x:f>
        <x:v>582</x:v>
      </x:c>
      <x:c r="G401" s="10" t="n">
        <x:f>'Raw Data'!F401</x:f>
        <x:v>5390</x:v>
      </x:c>
      <x:c r="H401" s="10" t="n">
        <x:f>'Raw Data'!G401</x:f>
        <x:v>74</x:v>
      </x:c>
      <x:c r="I401" s="10" t="n">
        <x:f>'Raw Data'!H401</x:f>
        <x:v>247</x:v>
      </x:c>
      <x:c r="J401" s="10" t="str">
        <x:f>VLOOKUP(B401,'Lookups &amp; Notes'!$A$4:$B$5,2,FALSE)</x:f>
        <x:v>Horeca</x:v>
      </x:c>
      <x:c r="K401" s="10" t="str">
        <x:f>VLOOKUP(C401,'Lookups &amp; Notes'!$A$8:$B$10,2,FALSE)</x:f>
        <x:v>Other</x:v>
      </x:c>
      <x:c r="L401" s="10" t="n">
        <x:f>SUM(D401:I401)</x:f>
        <x:v>18767</x:v>
      </x:c>
      <x:c r="M401" s="39" t="n">
        <x:f>IFERROR(F401/L401,0)</x:f>
        <x:v>0.031011882559812437</x:v>
      </x:c>
      <x:c r="N401" s="38" t="str">
        <x:f>IF(L401&gt;='Lookups &amp; Notes'!$E$4,"High Value","Standard")</x:f>
        <x:v>Standard</x:v>
      </x:c>
    </x:row>
    <x:row r="402">
      <x:c r="A402" s="38" t="str">
        <x:v>CUST-400</x:v>
      </x:c>
      <x:c r="B402" s="38" t="n">
        <x:f>'Raw Data'!A402</x:f>
        <x:v>1</x:v>
      </x:c>
      <x:c r="C402" s="38" t="n">
        <x:f>'Raw Data'!B402</x:f>
        <x:v>3</x:v>
      </x:c>
      <x:c r="D402" s="10" t="n">
        <x:f>'Raw Data'!C402</x:f>
        <x:v>9612</x:v>
      </x:c>
      <x:c r="E402" s="10" t="n">
        <x:f>'Raw Data'!D402</x:f>
        <x:v>577</x:v>
      </x:c>
      <x:c r="F402" s="10" t="n">
        <x:f>'Raw Data'!E402</x:f>
        <x:v>935</x:v>
      </x:c>
      <x:c r="G402" s="10" t="n">
        <x:f>'Raw Data'!F402</x:f>
        <x:v>1601</x:v>
      </x:c>
      <x:c r="H402" s="10" t="n">
        <x:f>'Raw Data'!G402</x:f>
        <x:v>469</x:v>
      </x:c>
      <x:c r="I402" s="10" t="n">
        <x:f>'Raw Data'!H402</x:f>
        <x:v>375</x:v>
      </x:c>
      <x:c r="J402" s="10" t="str">
        <x:f>VLOOKUP(B402,'Lookups &amp; Notes'!$A$4:$B$5,2,FALSE)</x:f>
        <x:v>Horeca</x:v>
      </x:c>
      <x:c r="K402" s="10" t="str">
        <x:f>VLOOKUP(C402,'Lookups &amp; Notes'!$A$8:$B$10,2,FALSE)</x:f>
        <x:v>Other</x:v>
      </x:c>
      <x:c r="L402" s="10" t="n">
        <x:f>SUM(D402:I402)</x:f>
        <x:v>13569</x:v>
      </x:c>
      <x:c r="M402" s="39" t="n">
        <x:f>IFERROR(F402/L402,0)</x:f>
        <x:v>0.0689070675805144</x:v>
      </x:c>
      <x:c r="N402" s="38" t="str">
        <x:f>IF(L402&gt;='Lookups &amp; Notes'!$E$4,"High Value","Standard")</x:f>
        <x:v>Standard</x:v>
      </x:c>
    </x:row>
    <x:row r="403">
      <x:c r="A403" s="38" t="str">
        <x:v>CUST-401</x:v>
      </x:c>
      <x:c r="B403" s="38" t="n">
        <x:f>'Raw Data'!A403</x:f>
        <x:v>1</x:v>
      </x:c>
      <x:c r="C403" s="38" t="n">
        <x:f>'Raw Data'!B403</x:f>
        <x:v>3</x:v>
      </x:c>
      <x:c r="D403" s="10" t="n">
        <x:f>'Raw Data'!C403</x:f>
        <x:v>4446</x:v>
      </x:c>
      <x:c r="E403" s="10" t="n">
        <x:f>'Raw Data'!D403</x:f>
        <x:v>906</x:v>
      </x:c>
      <x:c r="F403" s="10" t="n">
        <x:f>'Raw Data'!E403</x:f>
        <x:v>1238</x:v>
      </x:c>
      <x:c r="G403" s="10" t="n">
        <x:f>'Raw Data'!F403</x:f>
        <x:v>3576</x:v>
      </x:c>
      <x:c r="H403" s="10" t="n">
        <x:f>'Raw Data'!G403</x:f>
        <x:v>153</x:v>
      </x:c>
      <x:c r="I403" s="10" t="n">
        <x:f>'Raw Data'!H403</x:f>
        <x:v>1014</x:v>
      </x:c>
      <x:c r="J403" s="10" t="str">
        <x:f>VLOOKUP(B403,'Lookups &amp; Notes'!$A$4:$B$5,2,FALSE)</x:f>
        <x:v>Horeca</x:v>
      </x:c>
      <x:c r="K403" s="10" t="str">
        <x:f>VLOOKUP(C403,'Lookups &amp; Notes'!$A$8:$B$10,2,FALSE)</x:f>
        <x:v>Other</x:v>
      </x:c>
      <x:c r="L403" s="10" t="n">
        <x:f>SUM(D403:I403)</x:f>
        <x:v>11333</x:v>
      </x:c>
      <x:c r="M403" s="39" t="n">
        <x:f>IFERROR(F403/L403,0)</x:f>
        <x:v>0.10923850701491221</x:v>
      </x:c>
      <x:c r="N403" s="38" t="str">
        <x:f>IF(L403&gt;='Lookups &amp; Notes'!$E$4,"High Value","Standard")</x:f>
        <x:v>Standard</x:v>
      </x:c>
    </x:row>
    <x:row r="404">
      <x:c r="A404" s="38" t="str">
        <x:v>CUST-402</x:v>
      </x:c>
      <x:c r="B404" s="38" t="n">
        <x:f>'Raw Data'!A404</x:f>
        <x:v>1</x:v>
      </x:c>
      <x:c r="C404" s="38" t="n">
        <x:f>'Raw Data'!B404</x:f>
        <x:v>3</x:v>
      </x:c>
      <x:c r="D404" s="10" t="n">
        <x:f>'Raw Data'!C404</x:f>
        <x:v>27167</x:v>
      </x:c>
      <x:c r="E404" s="10" t="n">
        <x:f>'Raw Data'!D404</x:f>
        <x:v>2801</x:v>
      </x:c>
      <x:c r="F404" s="10" t="n">
        <x:f>'Raw Data'!E404</x:f>
        <x:v>2128</x:v>
      </x:c>
      <x:c r="G404" s="10" t="n">
        <x:f>'Raw Data'!F404</x:f>
        <x:v>13223</x:v>
      </x:c>
      <x:c r="H404" s="10" t="n">
        <x:f>'Raw Data'!G404</x:f>
        <x:v>92</x:v>
      </x:c>
      <x:c r="I404" s="10" t="n">
        <x:f>'Raw Data'!H404</x:f>
        <x:v>1902</x:v>
      </x:c>
      <x:c r="J404" s="10" t="str">
        <x:f>VLOOKUP(B404,'Lookups &amp; Notes'!$A$4:$B$5,2,FALSE)</x:f>
        <x:v>Horeca</x:v>
      </x:c>
      <x:c r="K404" s="10" t="str">
        <x:f>VLOOKUP(C404,'Lookups &amp; Notes'!$A$8:$B$10,2,FALSE)</x:f>
        <x:v>Other</x:v>
      </x:c>
      <x:c r="L404" s="10" t="n">
        <x:f>SUM(D404:I404)</x:f>
        <x:v>47313</x:v>
      </x:c>
      <x:c r="M404" s="39" t="n">
        <x:f>IFERROR(F404/L404,0)</x:f>
        <x:v>0.0449770676135523</x:v>
      </x:c>
      <x:c r="N404" s="38" t="str">
        <x:f>IF(L404&gt;='Lookups &amp; Notes'!$E$4,"High Value","Standard")</x:f>
        <x:v>High Value</x:v>
      </x:c>
    </x:row>
    <x:row r="405">
      <x:c r="A405" s="38" t="str">
        <x:v>CUST-403</x:v>
      </x:c>
      <x:c r="B405" s="38" t="n">
        <x:f>'Raw Data'!A405</x:f>
        <x:v>1</x:v>
      </x:c>
      <x:c r="C405" s="38" t="n">
        <x:f>'Raw Data'!B405</x:f>
        <x:v>3</x:v>
      </x:c>
      <x:c r="D405" s="10" t="n">
        <x:f>'Raw Data'!C405</x:f>
        <x:v>26539</x:v>
      </x:c>
      <x:c r="E405" s="10" t="n">
        <x:f>'Raw Data'!D405</x:f>
        <x:v>4753</x:v>
      </x:c>
      <x:c r="F405" s="10" t="n">
        <x:f>'Raw Data'!E405</x:f>
        <x:v>5091</x:v>
      </x:c>
      <x:c r="G405" s="10" t="n">
        <x:f>'Raw Data'!F405</x:f>
        <x:v>220</x:v>
      </x:c>
      <x:c r="H405" s="10" t="n">
        <x:f>'Raw Data'!G405</x:f>
        <x:v>10</x:v>
      </x:c>
      <x:c r="I405" s="10" t="n">
        <x:f>'Raw Data'!H405</x:f>
        <x:v>340</x:v>
      </x:c>
      <x:c r="J405" s="10" t="str">
        <x:f>VLOOKUP(B405,'Lookups &amp; Notes'!$A$4:$B$5,2,FALSE)</x:f>
        <x:v>Horeca</x:v>
      </x:c>
      <x:c r="K405" s="10" t="str">
        <x:f>VLOOKUP(C405,'Lookups &amp; Notes'!$A$8:$B$10,2,FALSE)</x:f>
        <x:v>Other</x:v>
      </x:c>
      <x:c r="L405" s="10" t="n">
        <x:f>SUM(D405:I405)</x:f>
        <x:v>36953</x:v>
      </x:c>
      <x:c r="M405" s="39" t="n">
        <x:f>IFERROR(F405/L405,0)</x:f>
        <x:v>0.13776959922063162</x:v>
      </x:c>
      <x:c r="N405" s="38" t="str">
        <x:f>IF(L405&gt;='Lookups &amp; Notes'!$E$4,"High Value","Standard")</x:f>
        <x:v>High Value</x:v>
      </x:c>
    </x:row>
    <x:row r="406">
      <x:c r="A406" s="38" t="str">
        <x:v>CUST-404</x:v>
      </x:c>
      <x:c r="B406" s="38" t="n">
        <x:f>'Raw Data'!A406</x:f>
        <x:v>1</x:v>
      </x:c>
      <x:c r="C406" s="38" t="n">
        <x:f>'Raw Data'!B406</x:f>
        <x:v>3</x:v>
      </x:c>
      <x:c r="D406" s="10" t="n">
        <x:f>'Raw Data'!C406</x:f>
        <x:v>25606</x:v>
      </x:c>
      <x:c r="E406" s="10" t="n">
        <x:f>'Raw Data'!D406</x:f>
        <x:v>11006</x:v>
      </x:c>
      <x:c r="F406" s="10" t="n">
        <x:f>'Raw Data'!E406</x:f>
        <x:v>4604</x:v>
      </x:c>
      <x:c r="G406" s="10" t="n">
        <x:f>'Raw Data'!F406</x:f>
        <x:v>127</x:v>
      </x:c>
      <x:c r="H406" s="10" t="n">
        <x:f>'Raw Data'!G406</x:f>
        <x:v>632</x:v>
      </x:c>
      <x:c r="I406" s="10" t="n">
        <x:f>'Raw Data'!H406</x:f>
        <x:v>288</x:v>
      </x:c>
      <x:c r="J406" s="10" t="str">
        <x:f>VLOOKUP(B406,'Lookups &amp; Notes'!$A$4:$B$5,2,FALSE)</x:f>
        <x:v>Horeca</x:v>
      </x:c>
      <x:c r="K406" s="10" t="str">
        <x:f>VLOOKUP(C406,'Lookups &amp; Notes'!$A$8:$B$10,2,FALSE)</x:f>
        <x:v>Other</x:v>
      </x:c>
      <x:c r="L406" s="10" t="n">
        <x:f>SUM(D406:I406)</x:f>
        <x:v>42263</x:v>
      </x:c>
      <x:c r="M406" s="39" t="n">
        <x:f>IFERROR(F406/L406,0)</x:f>
        <x:v>0.10893689515651989</x:v>
      </x:c>
      <x:c r="N406" s="38" t="str">
        <x:f>IF(L406&gt;='Lookups &amp; Notes'!$E$4,"High Value","Standard")</x:f>
        <x:v>High Value</x:v>
      </x:c>
    </x:row>
    <x:row r="407">
      <x:c r="A407" s="38" t="str">
        <x:v>CUST-405</x:v>
      </x:c>
      <x:c r="B407" s="38" t="n">
        <x:f>'Raw Data'!A407</x:f>
        <x:v>1</x:v>
      </x:c>
      <x:c r="C407" s="38" t="n">
        <x:f>'Raw Data'!B407</x:f>
        <x:v>3</x:v>
      </x:c>
      <x:c r="D407" s="10" t="n">
        <x:f>'Raw Data'!C407</x:f>
        <x:v>18073</x:v>
      </x:c>
      <x:c r="E407" s="10" t="n">
        <x:f>'Raw Data'!D407</x:f>
        <x:v>4613</x:v>
      </x:c>
      <x:c r="F407" s="10" t="n">
        <x:f>'Raw Data'!E407</x:f>
        <x:v>3444</x:v>
      </x:c>
      <x:c r="G407" s="10" t="n">
        <x:f>'Raw Data'!F407</x:f>
        <x:v>4324</x:v>
      </x:c>
      <x:c r="H407" s="10" t="n">
        <x:f>'Raw Data'!G407</x:f>
        <x:v>914</x:v>
      </x:c>
      <x:c r="I407" s="10" t="n">
        <x:f>'Raw Data'!H407</x:f>
        <x:v>715</x:v>
      </x:c>
      <x:c r="J407" s="10" t="str">
        <x:f>VLOOKUP(B407,'Lookups &amp; Notes'!$A$4:$B$5,2,FALSE)</x:f>
        <x:v>Horeca</x:v>
      </x:c>
      <x:c r="K407" s="10" t="str">
        <x:f>VLOOKUP(C407,'Lookups &amp; Notes'!$A$8:$B$10,2,FALSE)</x:f>
        <x:v>Other</x:v>
      </x:c>
      <x:c r="L407" s="10" t="n">
        <x:f>SUM(D407:I407)</x:f>
        <x:v>32083</x:v>
      </x:c>
      <x:c r="M407" s="39" t="n">
        <x:f>IFERROR(F407/L407,0)</x:f>
        <x:v>0.10734656983449178</x:v>
      </x:c>
      <x:c r="N407" s="38" t="str">
        <x:f>IF(L407&gt;='Lookups &amp; Notes'!$E$4,"High Value","Standard")</x:f>
        <x:v>High Value</x:v>
      </x:c>
    </x:row>
    <x:row r="408">
      <x:c r="A408" s="38" t="str">
        <x:v>CUST-406</x:v>
      </x:c>
      <x:c r="B408" s="38" t="n">
        <x:f>'Raw Data'!A408</x:f>
        <x:v>1</x:v>
      </x:c>
      <x:c r="C408" s="38" t="n">
        <x:f>'Raw Data'!B408</x:f>
        <x:v>3</x:v>
      </x:c>
      <x:c r="D408" s="10" t="n">
        <x:f>'Raw Data'!C408</x:f>
        <x:v>6884</x:v>
      </x:c>
      <x:c r="E408" s="10" t="n">
        <x:f>'Raw Data'!D408</x:f>
        <x:v>1046</x:v>
      </x:c>
      <x:c r="F408" s="10" t="n">
        <x:f>'Raw Data'!E408</x:f>
        <x:v>1167</x:v>
      </x:c>
      <x:c r="G408" s="10" t="n">
        <x:f>'Raw Data'!F408</x:f>
        <x:v>2069</x:v>
      </x:c>
      <x:c r="H408" s="10" t="n">
        <x:f>'Raw Data'!G408</x:f>
        <x:v>593</x:v>
      </x:c>
      <x:c r="I408" s="10" t="n">
        <x:f>'Raw Data'!H408</x:f>
        <x:v>378</x:v>
      </x:c>
      <x:c r="J408" s="10" t="str">
        <x:f>VLOOKUP(B408,'Lookups &amp; Notes'!$A$4:$B$5,2,FALSE)</x:f>
        <x:v>Horeca</x:v>
      </x:c>
      <x:c r="K408" s="10" t="str">
        <x:f>VLOOKUP(C408,'Lookups &amp; Notes'!$A$8:$B$10,2,FALSE)</x:f>
        <x:v>Other</x:v>
      </x:c>
      <x:c r="L408" s="10" t="n">
        <x:f>SUM(D408:I408)</x:f>
        <x:v>12137</x:v>
      </x:c>
      <x:c r="M408" s="39" t="n">
        <x:f>IFERROR(F408/L408,0)</x:f>
        <x:v>0.0961522616791629</x:v>
      </x:c>
      <x:c r="N408" s="38" t="str">
        <x:f>IF(L408&gt;='Lookups &amp; Notes'!$E$4,"High Value","Standard")</x:f>
        <x:v>Standard</x:v>
      </x:c>
    </x:row>
    <x:row r="409">
      <x:c r="A409" s="38" t="str">
        <x:v>CUST-407</x:v>
      </x:c>
      <x:c r="B409" s="38" t="n">
        <x:f>'Raw Data'!A409</x:f>
        <x:v>1</x:v>
      </x:c>
      <x:c r="C409" s="38" t="n">
        <x:f>'Raw Data'!B409</x:f>
        <x:v>3</x:v>
      </x:c>
      <x:c r="D409" s="10" t="n">
        <x:f>'Raw Data'!C409</x:f>
        <x:v>25066</x:v>
      </x:c>
      <x:c r="E409" s="10" t="n">
        <x:f>'Raw Data'!D409</x:f>
        <x:v>5010</x:v>
      </x:c>
      <x:c r="F409" s="10" t="n">
        <x:f>'Raw Data'!E409</x:f>
        <x:v>5026</x:v>
      </x:c>
      <x:c r="G409" s="10" t="n">
        <x:f>'Raw Data'!F409</x:f>
        <x:v>9806</x:v>
      </x:c>
      <x:c r="H409" s="10" t="n">
        <x:f>'Raw Data'!G409</x:f>
        <x:v>1092</x:v>
      </x:c>
      <x:c r="I409" s="10" t="n">
        <x:f>'Raw Data'!H409</x:f>
        <x:v>960</x:v>
      </x:c>
      <x:c r="J409" s="10" t="str">
        <x:f>VLOOKUP(B409,'Lookups &amp; Notes'!$A$4:$B$5,2,FALSE)</x:f>
        <x:v>Horeca</x:v>
      </x:c>
      <x:c r="K409" s="10" t="str">
        <x:f>VLOOKUP(C409,'Lookups &amp; Notes'!$A$8:$B$10,2,FALSE)</x:f>
        <x:v>Other</x:v>
      </x:c>
      <x:c r="L409" s="10" t="n">
        <x:f>SUM(D409:I409)</x:f>
        <x:v>46960</x:v>
      </x:c>
      <x:c r="M409" s="39" t="n">
        <x:f>IFERROR(F409/L409,0)</x:f>
        <x:v>0.10702725724020443</x:v>
      </x:c>
      <x:c r="N409" s="38" t="str">
        <x:f>IF(L409&gt;='Lookups &amp; Notes'!$E$4,"High Value","Standard")</x:f>
        <x:v>High Value</x:v>
      </x:c>
    </x:row>
    <x:row r="410">
      <x:c r="A410" s="38" t="str">
        <x:v>CUST-408</x:v>
      </x:c>
      <x:c r="B410" s="38" t="n">
        <x:f>'Raw Data'!A410</x:f>
        <x:v>2</x:v>
      </x:c>
      <x:c r="C410" s="38" t="n">
        <x:f>'Raw Data'!B410</x:f>
        <x:v>3</x:v>
      </x:c>
      <x:c r="D410" s="10" t="n">
        <x:f>'Raw Data'!C410</x:f>
        <x:v>7362</x:v>
      </x:c>
      <x:c r="E410" s="10" t="n">
        <x:f>'Raw Data'!D410</x:f>
        <x:v>12844</x:v>
      </x:c>
      <x:c r="F410" s="10" t="n">
        <x:f>'Raw Data'!E410</x:f>
        <x:v>18683</x:v>
      </x:c>
      <x:c r="G410" s="10" t="n">
        <x:f>'Raw Data'!F410</x:f>
        <x:v>2854</x:v>
      </x:c>
      <x:c r="H410" s="10" t="n">
        <x:f>'Raw Data'!G410</x:f>
        <x:v>7883</x:v>
      </x:c>
      <x:c r="I410" s="10" t="n">
        <x:f>'Raw Data'!H410</x:f>
        <x:v>553</x:v>
      </x:c>
      <x:c r="J410" s="10" t="str">
        <x:f>VLOOKUP(B410,'Lookups &amp; Notes'!$A$4:$B$5,2,FALSE)</x:f>
        <x:v>Retail</x:v>
      </x:c>
      <x:c r="K410" s="10" t="str">
        <x:f>VLOOKUP(C410,'Lookups &amp; Notes'!$A$8:$B$10,2,FALSE)</x:f>
        <x:v>Other</x:v>
      </x:c>
      <x:c r="L410" s="10" t="n">
        <x:f>SUM(D410:I410)</x:f>
        <x:v>50179</x:v>
      </x:c>
      <x:c r="M410" s="39" t="n">
        <x:f>IFERROR(F410/L410,0)</x:f>
        <x:v>0.37232706909264834</x:v>
      </x:c>
      <x:c r="N410" s="38" t="str">
        <x:f>IF(L410&gt;='Lookups &amp; Notes'!$E$4,"High Value","Standard")</x:f>
        <x:v>High Value</x:v>
      </x:c>
    </x:row>
    <x:row r="411">
      <x:c r="A411" s="38" t="str">
        <x:v>CUST-409</x:v>
      </x:c>
      <x:c r="B411" s="38" t="n">
        <x:f>'Raw Data'!A411</x:f>
        <x:v>2</x:v>
      </x:c>
      <x:c r="C411" s="38" t="n">
        <x:f>'Raw Data'!B411</x:f>
        <x:v>3</x:v>
      </x:c>
      <x:c r="D411" s="10" t="n">
        <x:f>'Raw Data'!C411</x:f>
        <x:v>8257</x:v>
      </x:c>
      <x:c r="E411" s="10" t="n">
        <x:f>'Raw Data'!D411</x:f>
        <x:v>3880</x:v>
      </x:c>
      <x:c r="F411" s="10" t="n">
        <x:f>'Raw Data'!E411</x:f>
        <x:v>6407</x:v>
      </x:c>
      <x:c r="G411" s="10" t="n">
        <x:f>'Raw Data'!F411</x:f>
        <x:v>1646</x:v>
      </x:c>
      <x:c r="H411" s="10" t="n">
        <x:f>'Raw Data'!G411</x:f>
        <x:v>2730</x:v>
      </x:c>
      <x:c r="I411" s="10" t="n">
        <x:f>'Raw Data'!H411</x:f>
        <x:v>344</x:v>
      </x:c>
      <x:c r="J411" s="10" t="str">
        <x:f>VLOOKUP(B411,'Lookups &amp; Notes'!$A$4:$B$5,2,FALSE)</x:f>
        <x:v>Retail</x:v>
      </x:c>
      <x:c r="K411" s="10" t="str">
        <x:f>VLOOKUP(C411,'Lookups &amp; Notes'!$A$8:$B$10,2,FALSE)</x:f>
        <x:v>Other</x:v>
      </x:c>
      <x:c r="L411" s="10" t="n">
        <x:f>SUM(D411:I411)</x:f>
        <x:v>23264</x:v>
      </x:c>
      <x:c r="M411" s="39" t="n">
        <x:f>IFERROR(F411/L411,0)</x:f>
        <x:v>0.2754040577716644</x:v>
      </x:c>
      <x:c r="N411" s="38" t="str">
        <x:f>IF(L411&gt;='Lookups &amp; Notes'!$E$4,"High Value","Standard")</x:f>
        <x:v>Standard</x:v>
      </x:c>
    </x:row>
    <x:row r="412">
      <x:c r="A412" s="38" t="str">
        <x:v>CUST-410</x:v>
      </x:c>
      <x:c r="B412" s="38" t="n">
        <x:f>'Raw Data'!A412</x:f>
        <x:v>1</x:v>
      </x:c>
      <x:c r="C412" s="38" t="n">
        <x:f>'Raw Data'!B412</x:f>
        <x:v>3</x:v>
      </x:c>
      <x:c r="D412" s="10" t="n">
        <x:f>'Raw Data'!C412</x:f>
        <x:v>8708</x:v>
      </x:c>
      <x:c r="E412" s="10" t="n">
        <x:f>'Raw Data'!D412</x:f>
        <x:v>3634</x:v>
      </x:c>
      <x:c r="F412" s="10" t="n">
        <x:f>'Raw Data'!E412</x:f>
        <x:v>6100</x:v>
      </x:c>
      <x:c r="G412" s="10" t="n">
        <x:f>'Raw Data'!F412</x:f>
        <x:v>2349</x:v>
      </x:c>
      <x:c r="H412" s="10" t="n">
        <x:f>'Raw Data'!G412</x:f>
        <x:v>2123</x:v>
      </x:c>
      <x:c r="I412" s="10" t="n">
        <x:f>'Raw Data'!H412</x:f>
        <x:v>5137</x:v>
      </x:c>
      <x:c r="J412" s="10" t="str">
        <x:f>VLOOKUP(B412,'Lookups &amp; Notes'!$A$4:$B$5,2,FALSE)</x:f>
        <x:v>Horeca</x:v>
      </x:c>
      <x:c r="K412" s="10" t="str">
        <x:f>VLOOKUP(C412,'Lookups &amp; Notes'!$A$8:$B$10,2,FALSE)</x:f>
        <x:v>Other</x:v>
      </x:c>
      <x:c r="L412" s="10" t="n">
        <x:f>SUM(D412:I412)</x:f>
        <x:v>28051</x:v>
      </x:c>
      <x:c r="M412" s="39" t="n">
        <x:f>IFERROR(F412/L412,0)</x:f>
        <x:v>0.21746105308188657</x:v>
      </x:c>
      <x:c r="N412" s="38" t="str">
        <x:f>IF(L412&gt;='Lookups &amp; Notes'!$E$4,"High Value","Standard")</x:f>
        <x:v>High Value</x:v>
      </x:c>
    </x:row>
    <x:row r="413">
      <x:c r="A413" s="38" t="str">
        <x:v>CUST-411</x:v>
      </x:c>
      <x:c r="B413" s="38" t="n">
        <x:f>'Raw Data'!A413</x:f>
        <x:v>1</x:v>
      </x:c>
      <x:c r="C413" s="38" t="n">
        <x:f>'Raw Data'!B413</x:f>
        <x:v>3</x:v>
      </x:c>
      <x:c r="D413" s="10" t="n">
        <x:f>'Raw Data'!C413</x:f>
        <x:v>6633</x:v>
      </x:c>
      <x:c r="E413" s="10" t="n">
        <x:f>'Raw Data'!D413</x:f>
        <x:v>2096</x:v>
      </x:c>
      <x:c r="F413" s="10" t="n">
        <x:f>'Raw Data'!E413</x:f>
        <x:v>4563</x:v>
      </x:c>
      <x:c r="G413" s="10" t="n">
        <x:f>'Raw Data'!F413</x:f>
        <x:v>1389</x:v>
      </x:c>
      <x:c r="H413" s="10" t="n">
        <x:f>'Raw Data'!G413</x:f>
        <x:v>1860</x:v>
      </x:c>
      <x:c r="I413" s="10" t="n">
        <x:f>'Raw Data'!H413</x:f>
        <x:v>1892</x:v>
      </x:c>
      <x:c r="J413" s="10" t="str">
        <x:f>VLOOKUP(B413,'Lookups &amp; Notes'!$A$4:$B$5,2,FALSE)</x:f>
        <x:v>Horeca</x:v>
      </x:c>
      <x:c r="K413" s="10" t="str">
        <x:f>VLOOKUP(C413,'Lookups &amp; Notes'!$A$8:$B$10,2,FALSE)</x:f>
        <x:v>Other</x:v>
      </x:c>
      <x:c r="L413" s="10" t="n">
        <x:f>SUM(D413:I413)</x:f>
        <x:v>18433</x:v>
      </x:c>
      <x:c r="M413" s="39" t="n">
        <x:f>IFERROR(F413/L413,0)</x:f>
        <x:v>0.24754516356534476</x:v>
      </x:c>
      <x:c r="N413" s="38" t="str">
        <x:f>IF(L413&gt;='Lookups &amp; Notes'!$E$4,"High Value","Standard")</x:f>
        <x:v>Standard</x:v>
      </x:c>
    </x:row>
    <x:row r="414">
      <x:c r="A414" s="38" t="str">
        <x:v>CUST-412</x:v>
      </x:c>
      <x:c r="B414" s="38" t="n">
        <x:f>'Raw Data'!A414</x:f>
        <x:v>1</x:v>
      </x:c>
      <x:c r="C414" s="38" t="n">
        <x:f>'Raw Data'!B414</x:f>
        <x:v>3</x:v>
      </x:c>
      <x:c r="D414" s="10" t="n">
        <x:f>'Raw Data'!C414</x:f>
        <x:v>2126</x:v>
      </x:c>
      <x:c r="E414" s="10" t="n">
        <x:f>'Raw Data'!D414</x:f>
        <x:v>3289</x:v>
      </x:c>
      <x:c r="F414" s="10" t="n">
        <x:f>'Raw Data'!E414</x:f>
        <x:v>3281</x:v>
      </x:c>
      <x:c r="G414" s="10" t="n">
        <x:f>'Raw Data'!F414</x:f>
        <x:v>1535</x:v>
      </x:c>
      <x:c r="H414" s="10" t="n">
        <x:f>'Raw Data'!G414</x:f>
        <x:v>235</x:v>
      </x:c>
      <x:c r="I414" s="10" t="n">
        <x:f>'Raw Data'!H414</x:f>
        <x:v>4365</x:v>
      </x:c>
      <x:c r="J414" s="10" t="str">
        <x:f>VLOOKUP(B414,'Lookups &amp; Notes'!$A$4:$B$5,2,FALSE)</x:f>
        <x:v>Horeca</x:v>
      </x:c>
      <x:c r="K414" s="10" t="str">
        <x:f>VLOOKUP(C414,'Lookups &amp; Notes'!$A$8:$B$10,2,FALSE)</x:f>
        <x:v>Other</x:v>
      </x:c>
      <x:c r="L414" s="10" t="n">
        <x:f>SUM(D414:I414)</x:f>
        <x:v>14831</x:v>
      </x:c>
      <x:c r="M414" s="39" t="n">
        <x:f>IFERROR(F414/L414,0)</x:f>
        <x:v>0.22122581080169915</x:v>
      </x:c>
      <x:c r="N414" s="38" t="str">
        <x:f>IF(L414&gt;='Lookups &amp; Notes'!$E$4,"High Value","Standard")</x:f>
        <x:v>Standard</x:v>
      </x:c>
    </x:row>
    <x:row r="415">
      <x:c r="A415" s="38" t="str">
        <x:v>CUST-413</x:v>
      </x:c>
      <x:c r="B415" s="38" t="n">
        <x:f>'Raw Data'!A415</x:f>
        <x:v>1</x:v>
      </x:c>
      <x:c r="C415" s="38" t="n">
        <x:f>'Raw Data'!B415</x:f>
        <x:v>3</x:v>
      </x:c>
      <x:c r="D415" s="10" t="n">
        <x:f>'Raw Data'!C415</x:f>
        <x:v>97</x:v>
      </x:c>
      <x:c r="E415" s="10" t="n">
        <x:f>'Raw Data'!D415</x:f>
        <x:v>3605</x:v>
      </x:c>
      <x:c r="F415" s="10" t="n">
        <x:f>'Raw Data'!E415</x:f>
        <x:v>12400</x:v>
      </x:c>
      <x:c r="G415" s="10" t="n">
        <x:f>'Raw Data'!F415</x:f>
        <x:v>98</x:v>
      </x:c>
      <x:c r="H415" s="10" t="n">
        <x:f>'Raw Data'!G415</x:f>
        <x:v>2970</x:v>
      </x:c>
      <x:c r="I415" s="10" t="n">
        <x:f>'Raw Data'!H415</x:f>
        <x:v>62</x:v>
      </x:c>
      <x:c r="J415" s="10" t="str">
        <x:f>VLOOKUP(B415,'Lookups &amp; Notes'!$A$4:$B$5,2,FALSE)</x:f>
        <x:v>Horeca</x:v>
      </x:c>
      <x:c r="K415" s="10" t="str">
        <x:f>VLOOKUP(C415,'Lookups &amp; Notes'!$A$8:$B$10,2,FALSE)</x:f>
        <x:v>Other</x:v>
      </x:c>
      <x:c r="L415" s="10" t="n">
        <x:f>SUM(D415:I415)</x:f>
        <x:v>19232</x:v>
      </x:c>
      <x:c r="M415" s="39" t="n">
        <x:f>IFERROR(F415/L415,0)</x:f>
        <x:v>0.6447587354409318</x:v>
      </x:c>
      <x:c r="N415" s="38" t="str">
        <x:f>IF(L415&gt;='Lookups &amp; Notes'!$E$4,"High Value","Standard")</x:f>
        <x:v>Standard</x:v>
      </x:c>
    </x:row>
    <x:row r="416">
      <x:c r="A416" s="38" t="str">
        <x:v>CUST-414</x:v>
      </x:c>
      <x:c r="B416" s="38" t="n">
        <x:f>'Raw Data'!A416</x:f>
        <x:v>1</x:v>
      </x:c>
      <x:c r="C416" s="38" t="n">
        <x:f>'Raw Data'!B416</x:f>
        <x:v>3</x:v>
      </x:c>
      <x:c r="D416" s="10" t="n">
        <x:f>'Raw Data'!C416</x:f>
        <x:v>4983</x:v>
      </x:c>
      <x:c r="E416" s="10" t="n">
        <x:f>'Raw Data'!D416</x:f>
        <x:v>4859</x:v>
      </x:c>
      <x:c r="F416" s="10" t="n">
        <x:f>'Raw Data'!E416</x:f>
        <x:v>6633</x:v>
      </x:c>
      <x:c r="G416" s="10" t="n">
        <x:f>'Raw Data'!F416</x:f>
        <x:v>17866</x:v>
      </x:c>
      <x:c r="H416" s="10" t="n">
        <x:f>'Raw Data'!G416</x:f>
        <x:v>912</x:v>
      </x:c>
      <x:c r="I416" s="10" t="n">
        <x:f>'Raw Data'!H416</x:f>
        <x:v>2435</x:v>
      </x:c>
      <x:c r="J416" s="10" t="str">
        <x:f>VLOOKUP(B416,'Lookups &amp; Notes'!$A$4:$B$5,2,FALSE)</x:f>
        <x:v>Horeca</x:v>
      </x:c>
      <x:c r="K416" s="10" t="str">
        <x:f>VLOOKUP(C416,'Lookups &amp; Notes'!$A$8:$B$10,2,FALSE)</x:f>
        <x:v>Other</x:v>
      </x:c>
      <x:c r="L416" s="10" t="n">
        <x:f>SUM(D416:I416)</x:f>
        <x:v>37688</x:v>
      </x:c>
      <x:c r="M416" s="39" t="n">
        <x:f>IFERROR(F416/L416,0)</x:f>
        <x:v>0.1759976650392698</x:v>
      </x:c>
      <x:c r="N416" s="38" t="str">
        <x:f>IF(L416&gt;='Lookups &amp; Notes'!$E$4,"High Value","Standard")</x:f>
        <x:v>High Value</x:v>
      </x:c>
    </x:row>
    <x:row r="417">
      <x:c r="A417" s="38" t="str">
        <x:v>CUST-415</x:v>
      </x:c>
      <x:c r="B417" s="38" t="n">
        <x:f>'Raw Data'!A417</x:f>
        <x:v>1</x:v>
      </x:c>
      <x:c r="C417" s="38" t="n">
        <x:f>'Raw Data'!B417</x:f>
        <x:v>3</x:v>
      </x:c>
      <x:c r="D417" s="10" t="n">
        <x:f>'Raw Data'!C417</x:f>
        <x:v>5969</x:v>
      </x:c>
      <x:c r="E417" s="10" t="n">
        <x:f>'Raw Data'!D417</x:f>
        <x:v>1990</x:v>
      </x:c>
      <x:c r="F417" s="10" t="n">
        <x:f>'Raw Data'!E417</x:f>
        <x:v>3417</x:v>
      </x:c>
      <x:c r="G417" s="10" t="n">
        <x:f>'Raw Data'!F417</x:f>
        <x:v>5679</x:v>
      </x:c>
      <x:c r="H417" s="10" t="n">
        <x:f>'Raw Data'!G417</x:f>
        <x:v>1135</x:v>
      </x:c>
      <x:c r="I417" s="10" t="n">
        <x:f>'Raw Data'!H417</x:f>
        <x:v>290</x:v>
      </x:c>
      <x:c r="J417" s="10" t="str">
        <x:f>VLOOKUP(B417,'Lookups &amp; Notes'!$A$4:$B$5,2,FALSE)</x:f>
        <x:v>Horeca</x:v>
      </x:c>
      <x:c r="K417" s="10" t="str">
        <x:f>VLOOKUP(C417,'Lookups &amp; Notes'!$A$8:$B$10,2,FALSE)</x:f>
        <x:v>Other</x:v>
      </x:c>
      <x:c r="L417" s="10" t="n">
        <x:f>SUM(D417:I417)</x:f>
        <x:v>18480</x:v>
      </x:c>
      <x:c r="M417" s="39" t="n">
        <x:f>IFERROR(F417/L417,0)</x:f>
        <x:v>0.1849025974025974</x:v>
      </x:c>
      <x:c r="N417" s="38" t="str">
        <x:f>IF(L417&gt;='Lookups &amp; Notes'!$E$4,"High Value","Standard")</x:f>
        <x:v>Standard</x:v>
      </x:c>
    </x:row>
    <x:row r="418">
      <x:c r="A418" s="38" t="str">
        <x:v>CUST-416</x:v>
      </x:c>
      <x:c r="B418" s="38" t="n">
        <x:f>'Raw Data'!A418</x:f>
        <x:v>2</x:v>
      </x:c>
      <x:c r="C418" s="38" t="n">
        <x:f>'Raw Data'!B418</x:f>
        <x:v>3</x:v>
      </x:c>
      <x:c r="D418" s="10" t="n">
        <x:f>'Raw Data'!C418</x:f>
        <x:v>7842</x:v>
      </x:c>
      <x:c r="E418" s="10" t="n">
        <x:f>'Raw Data'!D418</x:f>
        <x:v>6046</x:v>
      </x:c>
      <x:c r="F418" s="10" t="n">
        <x:f>'Raw Data'!E418</x:f>
        <x:v>8552</x:v>
      </x:c>
      <x:c r="G418" s="10" t="n">
        <x:f>'Raw Data'!F418</x:f>
        <x:v>1691</x:v>
      </x:c>
      <x:c r="H418" s="10" t="n">
        <x:f>'Raw Data'!G418</x:f>
        <x:v>3540</x:v>
      </x:c>
      <x:c r="I418" s="10" t="n">
        <x:f>'Raw Data'!H418</x:f>
        <x:v>1874</x:v>
      </x:c>
      <x:c r="J418" s="10" t="str">
        <x:f>VLOOKUP(B418,'Lookups &amp; Notes'!$A$4:$B$5,2,FALSE)</x:f>
        <x:v>Retail</x:v>
      </x:c>
      <x:c r="K418" s="10" t="str">
        <x:f>VLOOKUP(C418,'Lookups &amp; Notes'!$A$8:$B$10,2,FALSE)</x:f>
        <x:v>Other</x:v>
      </x:c>
      <x:c r="L418" s="10" t="n">
        <x:f>SUM(D418:I418)</x:f>
        <x:v>29545</x:v>
      </x:c>
      <x:c r="M418" s="39" t="n">
        <x:f>IFERROR(F418/L418,0)</x:f>
        <x:v>0.2894567608732442</x:v>
      </x:c>
      <x:c r="N418" s="38" t="str">
        <x:f>IF(L418&gt;='Lookups &amp; Notes'!$E$4,"High Value","Standard")</x:f>
        <x:v>High Value</x:v>
      </x:c>
    </x:row>
    <x:row r="419">
      <x:c r="A419" s="38" t="str">
        <x:v>CUST-417</x:v>
      </x:c>
      <x:c r="B419" s="38" t="n">
        <x:f>'Raw Data'!A419</x:f>
        <x:v>2</x:v>
      </x:c>
      <x:c r="C419" s="38" t="n">
        <x:f>'Raw Data'!B419</x:f>
        <x:v>3</x:v>
      </x:c>
      <x:c r="D419" s="10" t="n">
        <x:f>'Raw Data'!C419</x:f>
        <x:v>4389</x:v>
      </x:c>
      <x:c r="E419" s="10" t="n">
        <x:f>'Raw Data'!D419</x:f>
        <x:v>10940</x:v>
      </x:c>
      <x:c r="F419" s="10" t="n">
        <x:f>'Raw Data'!E419</x:f>
        <x:v>10908</x:v>
      </x:c>
      <x:c r="G419" s="10" t="n">
        <x:f>'Raw Data'!F419</x:f>
        <x:v>848</x:v>
      </x:c>
      <x:c r="H419" s="10" t="n">
        <x:f>'Raw Data'!G419</x:f>
        <x:v>6728</x:v>
      </x:c>
      <x:c r="I419" s="10" t="n">
        <x:f>'Raw Data'!H419</x:f>
        <x:v>993</x:v>
      </x:c>
      <x:c r="J419" s="10" t="str">
        <x:f>VLOOKUP(B419,'Lookups &amp; Notes'!$A$4:$B$5,2,FALSE)</x:f>
        <x:v>Retail</x:v>
      </x:c>
      <x:c r="K419" s="10" t="str">
        <x:f>VLOOKUP(C419,'Lookups &amp; Notes'!$A$8:$B$10,2,FALSE)</x:f>
        <x:v>Other</x:v>
      </x:c>
      <x:c r="L419" s="10" t="n">
        <x:f>SUM(D419:I419)</x:f>
        <x:v>34806</x:v>
      </x:c>
      <x:c r="M419" s="39" t="n">
        <x:f>IFERROR(F419/L419,0)</x:f>
        <x:v>0.3133942423720048</x:v>
      </x:c>
      <x:c r="N419" s="38" t="str">
        <x:f>IF(L419&gt;='Lookups &amp; Notes'!$E$4,"High Value","Standard")</x:f>
        <x:v>High Value</x:v>
      </x:c>
    </x:row>
    <x:row r="420">
      <x:c r="A420" s="38" t="str">
        <x:v>CUST-418</x:v>
      </x:c>
      <x:c r="B420" s="38" t="n">
        <x:f>'Raw Data'!A420</x:f>
        <x:v>1</x:v>
      </x:c>
      <x:c r="C420" s="38" t="n">
        <x:f>'Raw Data'!B420</x:f>
        <x:v>3</x:v>
      </x:c>
      <x:c r="D420" s="10" t="n">
        <x:f>'Raw Data'!C420</x:f>
        <x:v>5065</x:v>
      </x:c>
      <x:c r="E420" s="10" t="n">
        <x:f>'Raw Data'!D420</x:f>
        <x:v>5499</x:v>
      </x:c>
      <x:c r="F420" s="10" t="n">
        <x:f>'Raw Data'!E420</x:f>
        <x:v>11055</x:v>
      </x:c>
      <x:c r="G420" s="10" t="n">
        <x:f>'Raw Data'!F420</x:f>
        <x:v>364</x:v>
      </x:c>
      <x:c r="H420" s="10" t="n">
        <x:f>'Raw Data'!G420</x:f>
        <x:v>3485</x:v>
      </x:c>
      <x:c r="I420" s="10" t="n">
        <x:f>'Raw Data'!H420</x:f>
        <x:v>1063</x:v>
      </x:c>
      <x:c r="J420" s="10" t="str">
        <x:f>VLOOKUP(B420,'Lookups &amp; Notes'!$A$4:$B$5,2,FALSE)</x:f>
        <x:v>Horeca</x:v>
      </x:c>
      <x:c r="K420" s="10" t="str">
        <x:f>VLOOKUP(C420,'Lookups &amp; Notes'!$A$8:$B$10,2,FALSE)</x:f>
        <x:v>Other</x:v>
      </x:c>
      <x:c r="L420" s="10" t="n">
        <x:f>SUM(D420:I420)</x:f>
        <x:v>26531</x:v>
      </x:c>
      <x:c r="M420" s="39" t="n">
        <x:f>IFERROR(F420/L420,0)</x:f>
        <x:v>0.41668237156533866</x:v>
      </x:c>
      <x:c r="N420" s="38" t="str">
        <x:f>IF(L420&gt;='Lookups &amp; Notes'!$E$4,"High Value","Standard")</x:f>
        <x:v>Standard</x:v>
      </x:c>
    </x:row>
    <x:row r="421">
      <x:c r="A421" s="38" t="str">
        <x:v>CUST-419</x:v>
      </x:c>
      <x:c r="B421" s="38" t="n">
        <x:f>'Raw Data'!A421</x:f>
        <x:v>2</x:v>
      </x:c>
      <x:c r="C421" s="38" t="n">
        <x:f>'Raw Data'!B421</x:f>
        <x:v>3</x:v>
      </x:c>
      <x:c r="D421" s="10" t="n">
        <x:f>'Raw Data'!C421</x:f>
        <x:v>660</x:v>
      </x:c>
      <x:c r="E421" s="10" t="n">
        <x:f>'Raw Data'!D421</x:f>
        <x:v>8494</x:v>
      </x:c>
      <x:c r="F421" s="10" t="n">
        <x:f>'Raw Data'!E421</x:f>
        <x:v>18622</x:v>
      </x:c>
      <x:c r="G421" s="10" t="n">
        <x:f>'Raw Data'!F421</x:f>
        <x:v>133</x:v>
      </x:c>
      <x:c r="H421" s="10" t="n">
        <x:f>'Raw Data'!G421</x:f>
        <x:v>6740</x:v>
      </x:c>
      <x:c r="I421" s="10" t="n">
        <x:f>'Raw Data'!H421</x:f>
        <x:v>776</x:v>
      </x:c>
      <x:c r="J421" s="10" t="str">
        <x:f>VLOOKUP(B421,'Lookups &amp; Notes'!$A$4:$B$5,2,FALSE)</x:f>
        <x:v>Retail</x:v>
      </x:c>
      <x:c r="K421" s="10" t="str">
        <x:f>VLOOKUP(C421,'Lookups &amp; Notes'!$A$8:$B$10,2,FALSE)</x:f>
        <x:v>Other</x:v>
      </x:c>
      <x:c r="L421" s="10" t="n">
        <x:f>SUM(D421:I421)</x:f>
        <x:v>35425</x:v>
      </x:c>
      <x:c r="M421" s="39" t="n">
        <x:f>IFERROR(F421/L421,0)</x:f>
        <x:v>0.5256739590684545</x:v>
      </x:c>
      <x:c r="N421" s="38" t="str">
        <x:f>IF(L421&gt;='Lookups &amp; Notes'!$E$4,"High Value","Standard")</x:f>
        <x:v>High Value</x:v>
      </x:c>
    </x:row>
    <x:row r="422">
      <x:c r="A422" s="38" t="str">
        <x:v>CUST-420</x:v>
      </x:c>
      <x:c r="B422" s="38" t="n">
        <x:f>'Raw Data'!A422</x:f>
        <x:v>1</x:v>
      </x:c>
      <x:c r="C422" s="38" t="n">
        <x:f>'Raw Data'!B422</x:f>
        <x:v>3</x:v>
      </x:c>
      <x:c r="D422" s="10" t="n">
        <x:f>'Raw Data'!C422</x:f>
        <x:v>8861</x:v>
      </x:c>
      <x:c r="E422" s="10" t="n">
        <x:f>'Raw Data'!D422</x:f>
        <x:v>3783</x:v>
      </x:c>
      <x:c r="F422" s="10" t="n">
        <x:f>'Raw Data'!E422</x:f>
        <x:v>2223</x:v>
      </x:c>
      <x:c r="G422" s="10" t="n">
        <x:f>'Raw Data'!F422</x:f>
        <x:v>633</x:v>
      </x:c>
      <x:c r="H422" s="10" t="n">
        <x:f>'Raw Data'!G422</x:f>
        <x:v>1580</x:v>
      </x:c>
      <x:c r="I422" s="10" t="n">
        <x:f>'Raw Data'!H422</x:f>
        <x:v>1521</x:v>
      </x:c>
      <x:c r="J422" s="10" t="str">
        <x:f>VLOOKUP(B422,'Lookups &amp; Notes'!$A$4:$B$5,2,FALSE)</x:f>
        <x:v>Horeca</x:v>
      </x:c>
      <x:c r="K422" s="10" t="str">
        <x:f>VLOOKUP(C422,'Lookups &amp; Notes'!$A$8:$B$10,2,FALSE)</x:f>
        <x:v>Other</x:v>
      </x:c>
      <x:c r="L422" s="10" t="n">
        <x:f>SUM(D422:I422)</x:f>
        <x:v>18601</x:v>
      </x:c>
      <x:c r="M422" s="39" t="n">
        <x:f>IFERROR(F422/L422,0)</x:f>
        <x:v>0.1195097037793667</x:v>
      </x:c>
      <x:c r="N422" s="38" t="str">
        <x:f>IF(L422&gt;='Lookups &amp; Notes'!$E$4,"High Value","Standard")</x:f>
        <x:v>Standard</x:v>
      </x:c>
    </x:row>
    <x:row r="423">
      <x:c r="A423" s="38" t="str">
        <x:v>CUST-421</x:v>
      </x:c>
      <x:c r="B423" s="38" t="n">
        <x:f>'Raw Data'!A423</x:f>
        <x:v>1</x:v>
      </x:c>
      <x:c r="C423" s="38" t="n">
        <x:f>'Raw Data'!B423</x:f>
        <x:v>3</x:v>
      </x:c>
      <x:c r="D423" s="10" t="n">
        <x:f>'Raw Data'!C423</x:f>
        <x:v>4456</x:v>
      </x:c>
      <x:c r="E423" s="10" t="n">
        <x:f>'Raw Data'!D423</x:f>
        <x:v>5266</x:v>
      </x:c>
      <x:c r="F423" s="10" t="n">
        <x:f>'Raw Data'!E423</x:f>
        <x:v>13227</x:v>
      </x:c>
      <x:c r="G423" s="10" t="n">
        <x:f>'Raw Data'!F423</x:f>
        <x:v>25</x:v>
      </x:c>
      <x:c r="H423" s="10" t="n">
        <x:f>'Raw Data'!G423</x:f>
        <x:v>6818</x:v>
      </x:c>
      <x:c r="I423" s="10" t="n">
        <x:f>'Raw Data'!H423</x:f>
        <x:v>1393</x:v>
      </x:c>
      <x:c r="J423" s="10" t="str">
        <x:f>VLOOKUP(B423,'Lookups &amp; Notes'!$A$4:$B$5,2,FALSE)</x:f>
        <x:v>Horeca</x:v>
      </x:c>
      <x:c r="K423" s="10" t="str">
        <x:f>VLOOKUP(C423,'Lookups &amp; Notes'!$A$8:$B$10,2,FALSE)</x:f>
        <x:v>Other</x:v>
      </x:c>
      <x:c r="L423" s="10" t="n">
        <x:f>SUM(D423:I423)</x:f>
        <x:v>31185</x:v>
      </x:c>
      <x:c r="M423" s="39" t="n">
        <x:f>IFERROR(F423/L423,0)</x:f>
        <x:v>0.42414622414622416</x:v>
      </x:c>
      <x:c r="N423" s="38" t="str">
        <x:f>IF(L423&gt;='Lookups &amp; Notes'!$E$4,"High Value","Standard")</x:f>
        <x:v>High Value</x:v>
      </x:c>
    </x:row>
    <x:row r="424">
      <x:c r="A424" s="38" t="str">
        <x:v>CUST-422</x:v>
      </x:c>
      <x:c r="B424" s="38" t="n">
        <x:f>'Raw Data'!A424</x:f>
        <x:v>2</x:v>
      </x:c>
      <x:c r="C424" s="38" t="n">
        <x:f>'Raw Data'!B424</x:f>
        <x:v>3</x:v>
      </x:c>
      <x:c r="D424" s="10" t="n">
        <x:f>'Raw Data'!C424</x:f>
        <x:v>17063</x:v>
      </x:c>
      <x:c r="E424" s="10" t="n">
        <x:f>'Raw Data'!D424</x:f>
        <x:v>4847</x:v>
      </x:c>
      <x:c r="F424" s="10" t="n">
        <x:f>'Raw Data'!E424</x:f>
        <x:v>9053</x:v>
      </x:c>
      <x:c r="G424" s="10" t="n">
        <x:f>'Raw Data'!F424</x:f>
        <x:v>1031</x:v>
      </x:c>
      <x:c r="H424" s="10" t="n">
        <x:f>'Raw Data'!G424</x:f>
        <x:v>3415</x:v>
      </x:c>
      <x:c r="I424" s="10" t="n">
        <x:f>'Raw Data'!H424</x:f>
        <x:v>1784</x:v>
      </x:c>
      <x:c r="J424" s="10" t="str">
        <x:f>VLOOKUP(B424,'Lookups &amp; Notes'!$A$4:$B$5,2,FALSE)</x:f>
        <x:v>Retail</x:v>
      </x:c>
      <x:c r="K424" s="10" t="str">
        <x:f>VLOOKUP(C424,'Lookups &amp; Notes'!$A$8:$B$10,2,FALSE)</x:f>
        <x:v>Other</x:v>
      </x:c>
      <x:c r="L424" s="10" t="n">
        <x:f>SUM(D424:I424)</x:f>
        <x:v>37193</x:v>
      </x:c>
      <x:c r="M424" s="39" t="n">
        <x:f>IFERROR(F424/L424,0)</x:f>
        <x:v>0.2434060172613126</x:v>
      </x:c>
      <x:c r="N424" s="38" t="str">
        <x:f>IF(L424&gt;='Lookups &amp; Notes'!$E$4,"High Value","Standard")</x:f>
        <x:v>High Value</x:v>
      </x:c>
    </x:row>
    <x:row r="425">
      <x:c r="A425" s="38" t="str">
        <x:v>CUST-423</x:v>
      </x:c>
      <x:c r="B425" s="38" t="n">
        <x:f>'Raw Data'!A425</x:f>
        <x:v>1</x:v>
      </x:c>
      <x:c r="C425" s="38" t="n">
        <x:f>'Raw Data'!B425</x:f>
        <x:v>3</x:v>
      </x:c>
      <x:c r="D425" s="10" t="n">
        <x:f>'Raw Data'!C425</x:f>
        <x:v>26400</x:v>
      </x:c>
      <x:c r="E425" s="10" t="n">
        <x:f>'Raw Data'!D425</x:f>
        <x:v>1377</x:v>
      </x:c>
      <x:c r="F425" s="10" t="n">
        <x:f>'Raw Data'!E425</x:f>
        <x:v>4172</x:v>
      </x:c>
      <x:c r="G425" s="10" t="n">
        <x:f>'Raw Data'!F425</x:f>
        <x:v>830</x:v>
      </x:c>
      <x:c r="H425" s="10" t="n">
        <x:f>'Raw Data'!G425</x:f>
        <x:v>948</x:v>
      </x:c>
      <x:c r="I425" s="10" t="n">
        <x:f>'Raw Data'!H425</x:f>
        <x:v>1218</x:v>
      </x:c>
      <x:c r="J425" s="10" t="str">
        <x:f>VLOOKUP(B425,'Lookups &amp; Notes'!$A$4:$B$5,2,FALSE)</x:f>
        <x:v>Horeca</x:v>
      </x:c>
      <x:c r="K425" s="10" t="str">
        <x:f>VLOOKUP(C425,'Lookups &amp; Notes'!$A$8:$B$10,2,FALSE)</x:f>
        <x:v>Other</x:v>
      </x:c>
      <x:c r="L425" s="10" t="n">
        <x:f>SUM(D425:I425)</x:f>
        <x:v>34945</x:v>
      </x:c>
      <x:c r="M425" s="39" t="n">
        <x:f>IFERROR(F425/L425,0)</x:f>
        <x:v>0.11938760910001431</x:v>
      </x:c>
      <x:c r="N425" s="38" t="str">
        <x:f>IF(L425&gt;='Lookups &amp; Notes'!$E$4,"High Value","Standard")</x:f>
        <x:v>High Value</x:v>
      </x:c>
    </x:row>
    <x:row r="426">
      <x:c r="A426" s="38" t="str">
        <x:v>CUST-424</x:v>
      </x:c>
      <x:c r="B426" s="38" t="n">
        <x:f>'Raw Data'!A426</x:f>
        <x:v>2</x:v>
      </x:c>
      <x:c r="C426" s="38" t="n">
        <x:f>'Raw Data'!B426</x:f>
        <x:v>3</x:v>
      </x:c>
      <x:c r="D426" s="10" t="n">
        <x:f>'Raw Data'!C426</x:f>
        <x:v>17565</x:v>
      </x:c>
      <x:c r="E426" s="10" t="n">
        <x:f>'Raw Data'!D426</x:f>
        <x:v>3686</x:v>
      </x:c>
      <x:c r="F426" s="10" t="n">
        <x:f>'Raw Data'!E426</x:f>
        <x:v>4657</x:v>
      </x:c>
      <x:c r="G426" s="10" t="n">
        <x:f>'Raw Data'!F426</x:f>
        <x:v>1059</x:v>
      </x:c>
      <x:c r="H426" s="10" t="n">
        <x:f>'Raw Data'!G426</x:f>
        <x:v>1803</x:v>
      </x:c>
      <x:c r="I426" s="10" t="n">
        <x:f>'Raw Data'!H426</x:f>
        <x:v>668</x:v>
      </x:c>
      <x:c r="J426" s="10" t="str">
        <x:f>VLOOKUP(B426,'Lookups &amp; Notes'!$A$4:$B$5,2,FALSE)</x:f>
        <x:v>Retail</x:v>
      </x:c>
      <x:c r="K426" s="10" t="str">
        <x:f>VLOOKUP(C426,'Lookups &amp; Notes'!$A$8:$B$10,2,FALSE)</x:f>
        <x:v>Other</x:v>
      </x:c>
      <x:c r="L426" s="10" t="n">
        <x:f>SUM(D426:I426)</x:f>
        <x:v>29438</x:v>
      </x:c>
      <x:c r="M426" s="39" t="n">
        <x:f>IFERROR(F426/L426,0)</x:f>
        <x:v>0.158196888375569</x:v>
      </x:c>
      <x:c r="N426" s="38" t="str">
        <x:f>IF(L426&gt;='Lookups &amp; Notes'!$E$4,"High Value","Standard")</x:f>
        <x:v>High Value</x:v>
      </x:c>
    </x:row>
    <x:row r="427">
      <x:c r="A427" s="38" t="str">
        <x:v>CUST-425</x:v>
      </x:c>
      <x:c r="B427" s="38" t="n">
        <x:f>'Raw Data'!A427</x:f>
        <x:v>2</x:v>
      </x:c>
      <x:c r="C427" s="38" t="n">
        <x:f>'Raw Data'!B427</x:f>
        <x:v>3</x:v>
      </x:c>
      <x:c r="D427" s="10" t="n">
        <x:f>'Raw Data'!C427</x:f>
        <x:v>16980</x:v>
      </x:c>
      <x:c r="E427" s="10" t="n">
        <x:f>'Raw Data'!D427</x:f>
        <x:v>2884</x:v>
      </x:c>
      <x:c r="F427" s="10" t="n">
        <x:f>'Raw Data'!E427</x:f>
        <x:v>12232</x:v>
      </x:c>
      <x:c r="G427" s="10" t="n">
        <x:f>'Raw Data'!F427</x:f>
        <x:v>874</x:v>
      </x:c>
      <x:c r="H427" s="10" t="n">
        <x:f>'Raw Data'!G427</x:f>
        <x:v>3213</x:v>
      </x:c>
      <x:c r="I427" s="10" t="n">
        <x:f>'Raw Data'!H427</x:f>
        <x:v>249</x:v>
      </x:c>
      <x:c r="J427" s="10" t="str">
        <x:f>VLOOKUP(B427,'Lookups &amp; Notes'!$A$4:$B$5,2,FALSE)</x:f>
        <x:v>Retail</x:v>
      </x:c>
      <x:c r="K427" s="10" t="str">
        <x:f>VLOOKUP(C427,'Lookups &amp; Notes'!$A$8:$B$10,2,FALSE)</x:f>
        <x:v>Other</x:v>
      </x:c>
      <x:c r="L427" s="10" t="n">
        <x:f>SUM(D427:I427)</x:f>
        <x:v>36432</x:v>
      </x:c>
      <x:c r="M427" s="39" t="n">
        <x:f>IFERROR(F427/L427,0)</x:f>
        <x:v>0.3357487922705314</x:v>
      </x:c>
      <x:c r="N427" s="38" t="str">
        <x:f>IF(L427&gt;='Lookups &amp; Notes'!$E$4,"High Value","Standard")</x:f>
        <x:v>High Value</x:v>
      </x:c>
    </x:row>
    <x:row r="428">
      <x:c r="A428" s="38" t="str">
        <x:v>CUST-426</x:v>
      </x:c>
      <x:c r="B428" s="38" t="n">
        <x:f>'Raw Data'!A428</x:f>
        <x:v>1</x:v>
      </x:c>
      <x:c r="C428" s="38" t="n">
        <x:f>'Raw Data'!B428</x:f>
        <x:v>3</x:v>
      </x:c>
      <x:c r="D428" s="10" t="n">
        <x:f>'Raw Data'!C428</x:f>
        <x:v>11243</x:v>
      </x:c>
      <x:c r="E428" s="10" t="n">
        <x:f>'Raw Data'!D428</x:f>
        <x:v>2408</x:v>
      </x:c>
      <x:c r="F428" s="10" t="n">
        <x:f>'Raw Data'!E428</x:f>
        <x:v>2593</x:v>
      </x:c>
      <x:c r="G428" s="10" t="n">
        <x:f>'Raw Data'!F428</x:f>
        <x:v>15348</x:v>
      </x:c>
      <x:c r="H428" s="10" t="n">
        <x:f>'Raw Data'!G428</x:f>
        <x:v>108</x:v>
      </x:c>
      <x:c r="I428" s="10" t="n">
        <x:f>'Raw Data'!H428</x:f>
        <x:v>1886</x:v>
      </x:c>
      <x:c r="J428" s="10" t="str">
        <x:f>VLOOKUP(B428,'Lookups &amp; Notes'!$A$4:$B$5,2,FALSE)</x:f>
        <x:v>Horeca</x:v>
      </x:c>
      <x:c r="K428" s="10" t="str">
        <x:f>VLOOKUP(C428,'Lookups &amp; Notes'!$A$8:$B$10,2,FALSE)</x:f>
        <x:v>Other</x:v>
      </x:c>
      <x:c r="L428" s="10" t="n">
        <x:f>SUM(D428:I428)</x:f>
        <x:v>33586</x:v>
      </x:c>
      <x:c r="M428" s="39" t="n">
        <x:f>IFERROR(F428/L428,0)</x:f>
        <x:v>0.07720478770916453</x:v>
      </x:c>
      <x:c r="N428" s="38" t="str">
        <x:f>IF(L428&gt;='Lookups &amp; Notes'!$E$4,"High Value","Standard")</x:f>
        <x:v>High Value</x:v>
      </x:c>
    </x:row>
    <x:row r="429">
      <x:c r="A429" s="38" t="str">
        <x:v>CUST-427</x:v>
      </x:c>
      <x:c r="B429" s="38" t="n">
        <x:f>'Raw Data'!A429</x:f>
        <x:v>1</x:v>
      </x:c>
      <x:c r="C429" s="38" t="n">
        <x:f>'Raw Data'!B429</x:f>
        <x:v>3</x:v>
      </x:c>
      <x:c r="D429" s="10" t="n">
        <x:f>'Raw Data'!C429</x:f>
        <x:v>13134</x:v>
      </x:c>
      <x:c r="E429" s="10" t="n">
        <x:f>'Raw Data'!D429</x:f>
        <x:v>9347</x:v>
      </x:c>
      <x:c r="F429" s="10" t="n">
        <x:f>'Raw Data'!E429</x:f>
        <x:v>14316</x:v>
      </x:c>
      <x:c r="G429" s="10" t="n">
        <x:f>'Raw Data'!F429</x:f>
        <x:v>3141</x:v>
      </x:c>
      <x:c r="H429" s="10" t="n">
        <x:f>'Raw Data'!G429</x:f>
        <x:v>5079</x:v>
      </x:c>
      <x:c r="I429" s="10" t="n">
        <x:f>'Raw Data'!H429</x:f>
        <x:v>1894</x:v>
      </x:c>
      <x:c r="J429" s="10" t="str">
        <x:f>VLOOKUP(B429,'Lookups &amp; Notes'!$A$4:$B$5,2,FALSE)</x:f>
        <x:v>Horeca</x:v>
      </x:c>
      <x:c r="K429" s="10" t="str">
        <x:f>VLOOKUP(C429,'Lookups &amp; Notes'!$A$8:$B$10,2,FALSE)</x:f>
        <x:v>Other</x:v>
      </x:c>
      <x:c r="L429" s="10" t="n">
        <x:f>SUM(D429:I429)</x:f>
        <x:v>46911</x:v>
      </x:c>
      <x:c r="M429" s="39" t="n">
        <x:f>IFERROR(F429/L429,0)</x:f>
        <x:v>0.3051736266547292</x:v>
      </x:c>
      <x:c r="N429" s="38" t="str">
        <x:f>IF(L429&gt;='Lookups &amp; Notes'!$E$4,"High Value","Standard")</x:f>
        <x:v>High Value</x:v>
      </x:c>
    </x:row>
    <x:row r="430">
      <x:c r="A430" s="38" t="str">
        <x:v>CUST-428</x:v>
      </x:c>
      <x:c r="B430" s="38" t="n">
        <x:f>'Raw Data'!A430</x:f>
        <x:v>1</x:v>
      </x:c>
      <x:c r="C430" s="38" t="n">
        <x:f>'Raw Data'!B430</x:f>
        <x:v>3</x:v>
      </x:c>
      <x:c r="D430" s="10" t="n">
        <x:f>'Raw Data'!C430</x:f>
        <x:v>31012</x:v>
      </x:c>
      <x:c r="E430" s="10" t="n">
        <x:f>'Raw Data'!D430</x:f>
        <x:v>16687</x:v>
      </x:c>
      <x:c r="F430" s="10" t="n">
        <x:f>'Raw Data'!E430</x:f>
        <x:v>5429</x:v>
      </x:c>
      <x:c r="G430" s="10" t="n">
        <x:f>'Raw Data'!F430</x:f>
        <x:v>15082</x:v>
      </x:c>
      <x:c r="H430" s="10" t="n">
        <x:f>'Raw Data'!G430</x:f>
        <x:v>439</x:v>
      </x:c>
      <x:c r="I430" s="10" t="n">
        <x:f>'Raw Data'!H430</x:f>
        <x:v>1163</x:v>
      </x:c>
      <x:c r="J430" s="10" t="str">
        <x:f>VLOOKUP(B430,'Lookups &amp; Notes'!$A$4:$B$5,2,FALSE)</x:f>
        <x:v>Horeca</x:v>
      </x:c>
      <x:c r="K430" s="10" t="str">
        <x:f>VLOOKUP(C430,'Lookups &amp; Notes'!$A$8:$B$10,2,FALSE)</x:f>
        <x:v>Other</x:v>
      </x:c>
      <x:c r="L430" s="10" t="n">
        <x:f>SUM(D430:I430)</x:f>
        <x:v>69812</x:v>
      </x:c>
      <x:c r="M430" s="39" t="n">
        <x:f>IFERROR(F430/L430,0)</x:f>
        <x:v>0.07776600011459348</x:v>
      </x:c>
      <x:c r="N430" s="38" t="str">
        <x:f>IF(L430&gt;='Lookups &amp; Notes'!$E$4,"High Value","Standard")</x:f>
        <x:v>High Value</x:v>
      </x:c>
    </x:row>
    <x:row r="431">
      <x:c r="A431" s="38" t="str">
        <x:v>CUST-429</x:v>
      </x:c>
      <x:c r="B431" s="38" t="n">
        <x:f>'Raw Data'!A431</x:f>
        <x:v>1</x:v>
      </x:c>
      <x:c r="C431" s="38" t="n">
        <x:f>'Raw Data'!B431</x:f>
        <x:v>3</x:v>
      </x:c>
      <x:c r="D431" s="10" t="n">
        <x:f>'Raw Data'!C431</x:f>
        <x:v>3047</x:v>
      </x:c>
      <x:c r="E431" s="10" t="n">
        <x:f>'Raw Data'!D431</x:f>
        <x:v>5970</x:v>
      </x:c>
      <x:c r="F431" s="10" t="n">
        <x:f>'Raw Data'!E431</x:f>
        <x:v>4910</x:v>
      </x:c>
      <x:c r="G431" s="10" t="n">
        <x:f>'Raw Data'!F431</x:f>
        <x:v>2198</x:v>
      </x:c>
      <x:c r="H431" s="10" t="n">
        <x:f>'Raw Data'!G431</x:f>
        <x:v>850</x:v>
      </x:c>
      <x:c r="I431" s="10" t="n">
        <x:f>'Raw Data'!H431</x:f>
        <x:v>317</x:v>
      </x:c>
      <x:c r="J431" s="10" t="str">
        <x:f>VLOOKUP(B431,'Lookups &amp; Notes'!$A$4:$B$5,2,FALSE)</x:f>
        <x:v>Horeca</x:v>
      </x:c>
      <x:c r="K431" s="10" t="str">
        <x:f>VLOOKUP(C431,'Lookups &amp; Notes'!$A$8:$B$10,2,FALSE)</x:f>
        <x:v>Other</x:v>
      </x:c>
      <x:c r="L431" s="10" t="n">
        <x:f>SUM(D431:I431)</x:f>
        <x:v>17292</x:v>
      </x:c>
      <x:c r="M431" s="39" t="n">
        <x:f>IFERROR(F431/L431,0)</x:f>
        <x:v>0.28394633356465415</x:v>
      </x:c>
      <x:c r="N431" s="38" t="str">
        <x:f>IF(L431&gt;='Lookups &amp; Notes'!$E$4,"High Value","Standard")</x:f>
        <x:v>Standard</x:v>
      </x:c>
    </x:row>
    <x:row r="432">
      <x:c r="A432" s="38" t="str">
        <x:v>CUST-430</x:v>
      </x:c>
      <x:c r="B432" s="38" t="n">
        <x:f>'Raw Data'!A432</x:f>
        <x:v>1</x:v>
      </x:c>
      <x:c r="C432" s="38" t="n">
        <x:f>'Raw Data'!B432</x:f>
        <x:v>3</x:v>
      </x:c>
      <x:c r="D432" s="10" t="n">
        <x:f>'Raw Data'!C432</x:f>
        <x:v>8607</x:v>
      </x:c>
      <x:c r="E432" s="10" t="n">
        <x:f>'Raw Data'!D432</x:f>
        <x:v>1750</x:v>
      </x:c>
      <x:c r="F432" s="10" t="n">
        <x:f>'Raw Data'!E432</x:f>
        <x:v>3580</x:v>
      </x:c>
      <x:c r="G432" s="10" t="n">
        <x:f>'Raw Data'!F432</x:f>
        <x:v>47</x:v>
      </x:c>
      <x:c r="H432" s="10" t="n">
        <x:f>'Raw Data'!G432</x:f>
        <x:v>84</x:v>
      </x:c>
      <x:c r="I432" s="10" t="n">
        <x:f>'Raw Data'!H432</x:f>
        <x:v>2501</x:v>
      </x:c>
      <x:c r="J432" s="10" t="str">
        <x:f>VLOOKUP(B432,'Lookups &amp; Notes'!$A$4:$B$5,2,FALSE)</x:f>
        <x:v>Horeca</x:v>
      </x:c>
      <x:c r="K432" s="10" t="str">
        <x:f>VLOOKUP(C432,'Lookups &amp; Notes'!$A$8:$B$10,2,FALSE)</x:f>
        <x:v>Other</x:v>
      </x:c>
      <x:c r="L432" s="10" t="n">
        <x:f>SUM(D432:I432)</x:f>
        <x:v>16569</x:v>
      </x:c>
      <x:c r="M432" s="39" t="n">
        <x:f>IFERROR(F432/L432,0)</x:f>
        <x:v>0.216066147625083</x:v>
      </x:c>
      <x:c r="N432" s="38" t="str">
        <x:f>IF(L432&gt;='Lookups &amp; Notes'!$E$4,"High Value","Standard")</x:f>
        <x:v>Standard</x:v>
      </x:c>
    </x:row>
    <x:row r="433">
      <x:c r="A433" s="38" t="str">
        <x:v>CUST-431</x:v>
      </x:c>
      <x:c r="B433" s="38" t="n">
        <x:f>'Raw Data'!A433</x:f>
        <x:v>1</x:v>
      </x:c>
      <x:c r="C433" s="38" t="n">
        <x:f>'Raw Data'!B433</x:f>
        <x:v>3</x:v>
      </x:c>
      <x:c r="D433" s="10" t="n">
        <x:f>'Raw Data'!C433</x:f>
        <x:v>3097</x:v>
      </x:c>
      <x:c r="E433" s="10" t="n">
        <x:f>'Raw Data'!D433</x:f>
        <x:v>4230</x:v>
      </x:c>
      <x:c r="F433" s="10" t="n">
        <x:f>'Raw Data'!E433</x:f>
        <x:v>16483</x:v>
      </x:c>
      <x:c r="G433" s="10" t="n">
        <x:f>'Raw Data'!F433</x:f>
        <x:v>575</x:v>
      </x:c>
      <x:c r="H433" s="10" t="n">
        <x:f>'Raw Data'!G433</x:f>
        <x:v>241</x:v>
      </x:c>
      <x:c r="I433" s="10" t="n">
        <x:f>'Raw Data'!H433</x:f>
        <x:v>2080</x:v>
      </x:c>
      <x:c r="J433" s="10" t="str">
        <x:f>VLOOKUP(B433,'Lookups &amp; Notes'!$A$4:$B$5,2,FALSE)</x:f>
        <x:v>Horeca</x:v>
      </x:c>
      <x:c r="K433" s="10" t="str">
        <x:f>VLOOKUP(C433,'Lookups &amp; Notes'!$A$8:$B$10,2,FALSE)</x:f>
        <x:v>Other</x:v>
      </x:c>
      <x:c r="L433" s="10" t="n">
        <x:f>SUM(D433:I433)</x:f>
        <x:v>26706</x:v>
      </x:c>
      <x:c r="M433" s="39" t="n">
        <x:f>IFERROR(F433/L433,0)</x:f>
        <x:v>0.6172021268628772</x:v>
      </x:c>
      <x:c r="N433" s="38" t="str">
        <x:f>IF(L433&gt;='Lookups &amp; Notes'!$E$4,"High Value","Standard")</x:f>
        <x:v>Standard</x:v>
      </x:c>
    </x:row>
    <x:row r="434">
      <x:c r="A434" s="38" t="str">
        <x:v>CUST-432</x:v>
      </x:c>
      <x:c r="B434" s="38" t="n">
        <x:f>'Raw Data'!A434</x:f>
        <x:v>1</x:v>
      </x:c>
      <x:c r="C434" s="38" t="n">
        <x:f>'Raw Data'!B434</x:f>
        <x:v>3</x:v>
      </x:c>
      <x:c r="D434" s="10" t="n">
        <x:f>'Raw Data'!C434</x:f>
        <x:v>8533</x:v>
      </x:c>
      <x:c r="E434" s="10" t="n">
        <x:f>'Raw Data'!D434</x:f>
        <x:v>5506</x:v>
      </x:c>
      <x:c r="F434" s="10" t="n">
        <x:f>'Raw Data'!E434</x:f>
        <x:v>5160</x:v>
      </x:c>
      <x:c r="G434" s="10" t="n">
        <x:f>'Raw Data'!F434</x:f>
        <x:v>13486</x:v>
      </x:c>
      <x:c r="H434" s="10" t="n">
        <x:f>'Raw Data'!G434</x:f>
        <x:v>1377</x:v>
      </x:c>
      <x:c r="I434" s="10" t="n">
        <x:f>'Raw Data'!H434</x:f>
        <x:v>1498</x:v>
      </x:c>
      <x:c r="J434" s="10" t="str">
        <x:f>VLOOKUP(B434,'Lookups &amp; Notes'!$A$4:$B$5,2,FALSE)</x:f>
        <x:v>Horeca</x:v>
      </x:c>
      <x:c r="K434" s="10" t="str">
        <x:f>VLOOKUP(C434,'Lookups &amp; Notes'!$A$8:$B$10,2,FALSE)</x:f>
        <x:v>Other</x:v>
      </x:c>
      <x:c r="L434" s="10" t="n">
        <x:f>SUM(D434:I434)</x:f>
        <x:v>35560</x:v>
      </x:c>
      <x:c r="M434" s="39" t="n">
        <x:f>IFERROR(F434/L434,0)</x:f>
        <x:v>0.14510686164229472</x:v>
      </x:c>
      <x:c r="N434" s="38" t="str">
        <x:f>IF(L434&gt;='Lookups &amp; Notes'!$E$4,"High Value","Standard")</x:f>
        <x:v>High Value</x:v>
      </x:c>
    </x:row>
    <x:row r="435">
      <x:c r="A435" s="38" t="str">
        <x:v>CUST-433</x:v>
      </x:c>
      <x:c r="B435" s="38" t="n">
        <x:f>'Raw Data'!A435</x:f>
        <x:v>1</x:v>
      </x:c>
      <x:c r="C435" s="38" t="n">
        <x:f>'Raw Data'!B435</x:f>
        <x:v>3</x:v>
      </x:c>
      <x:c r="D435" s="10" t="n">
        <x:f>'Raw Data'!C435</x:f>
        <x:v>21117</x:v>
      </x:c>
      <x:c r="E435" s="10" t="n">
        <x:f>'Raw Data'!D435</x:f>
        <x:v>1162</x:v>
      </x:c>
      <x:c r="F435" s="10" t="n">
        <x:f>'Raw Data'!E435</x:f>
        <x:v>4754</x:v>
      </x:c>
      <x:c r="G435" s="10" t="n">
        <x:f>'Raw Data'!F435</x:f>
        <x:v>269</x:v>
      </x:c>
      <x:c r="H435" s="10" t="n">
        <x:f>'Raw Data'!G435</x:f>
        <x:v>1328</x:v>
      </x:c>
      <x:c r="I435" s="10" t="n">
        <x:f>'Raw Data'!H435</x:f>
        <x:v>395</x:v>
      </x:c>
      <x:c r="J435" s="10" t="str">
        <x:f>VLOOKUP(B435,'Lookups &amp; Notes'!$A$4:$B$5,2,FALSE)</x:f>
        <x:v>Horeca</x:v>
      </x:c>
      <x:c r="K435" s="10" t="str">
        <x:f>VLOOKUP(C435,'Lookups &amp; Notes'!$A$8:$B$10,2,FALSE)</x:f>
        <x:v>Other</x:v>
      </x:c>
      <x:c r="L435" s="10" t="n">
        <x:f>SUM(D435:I435)</x:f>
        <x:v>29025</x:v>
      </x:c>
      <x:c r="M435" s="39" t="n">
        <x:f>IFERROR(F435/L435,0)</x:f>
        <x:v>0.1637898363479759</x:v>
      </x:c>
      <x:c r="N435" s="38" t="str">
        <x:f>IF(L435&gt;='Lookups &amp; Notes'!$E$4,"High Value","Standard")</x:f>
        <x:v>High Value</x:v>
      </x:c>
    </x:row>
    <x:row r="436">
      <x:c r="A436" s="38" t="str">
        <x:v>CUST-434</x:v>
      </x:c>
      <x:c r="B436" s="38" t="n">
        <x:f>'Raw Data'!A436</x:f>
        <x:v>1</x:v>
      </x:c>
      <x:c r="C436" s="38" t="n">
        <x:f>'Raw Data'!B436</x:f>
        <x:v>3</x:v>
      </x:c>
      <x:c r="D436" s="10" t="n">
        <x:f>'Raw Data'!C436</x:f>
        <x:v>1982</x:v>
      </x:c>
      <x:c r="E436" s="10" t="n">
        <x:f>'Raw Data'!D436</x:f>
        <x:v>3218</x:v>
      </x:c>
      <x:c r="F436" s="10" t="n">
        <x:f>'Raw Data'!E436</x:f>
        <x:v>1493</x:v>
      </x:c>
      <x:c r="G436" s="10" t="n">
        <x:f>'Raw Data'!F436</x:f>
        <x:v>1541</x:v>
      </x:c>
      <x:c r="H436" s="10" t="n">
        <x:f>'Raw Data'!G436</x:f>
        <x:v>356</x:v>
      </x:c>
      <x:c r="I436" s="10" t="n">
        <x:f>'Raw Data'!H436</x:f>
        <x:v>1449</x:v>
      </x:c>
      <x:c r="J436" s="10" t="str">
        <x:f>VLOOKUP(B436,'Lookups &amp; Notes'!$A$4:$B$5,2,FALSE)</x:f>
        <x:v>Horeca</x:v>
      </x:c>
      <x:c r="K436" s="10" t="str">
        <x:f>VLOOKUP(C436,'Lookups &amp; Notes'!$A$8:$B$10,2,FALSE)</x:f>
        <x:v>Other</x:v>
      </x:c>
      <x:c r="L436" s="10" t="n">
        <x:f>SUM(D436:I436)</x:f>
        <x:v>10039</x:v>
      </x:c>
      <x:c r="M436" s="39" t="n">
        <x:f>IFERROR(F436/L436,0)</x:f>
        <x:v>0.1487199920310788</x:v>
      </x:c>
      <x:c r="N436" s="38" t="str">
        <x:f>IF(L436&gt;='Lookups &amp; Notes'!$E$4,"High Value","Standard")</x:f>
        <x:v>Standard</x:v>
      </x:c>
    </x:row>
    <x:row r="437">
      <x:c r="A437" s="38" t="str">
        <x:v>CUST-435</x:v>
      </x:c>
      <x:c r="B437" s="38" t="n">
        <x:f>'Raw Data'!A437</x:f>
        <x:v>1</x:v>
      </x:c>
      <x:c r="C437" s="38" t="n">
        <x:f>'Raw Data'!B437</x:f>
        <x:v>3</x:v>
      </x:c>
      <x:c r="D437" s="10" t="n">
        <x:f>'Raw Data'!C437</x:f>
        <x:v>16731</x:v>
      </x:c>
      <x:c r="E437" s="10" t="n">
        <x:f>'Raw Data'!D437</x:f>
        <x:v>3922</x:v>
      </x:c>
      <x:c r="F437" s="10" t="n">
        <x:f>'Raw Data'!E437</x:f>
        <x:v>7994</x:v>
      </x:c>
      <x:c r="G437" s="10" t="n">
        <x:f>'Raw Data'!F437</x:f>
        <x:v>688</x:v>
      </x:c>
      <x:c r="H437" s="10" t="n">
        <x:f>'Raw Data'!G437</x:f>
        <x:v>2371</x:v>
      </x:c>
      <x:c r="I437" s="10" t="n">
        <x:f>'Raw Data'!H437</x:f>
        <x:v>838</x:v>
      </x:c>
      <x:c r="J437" s="10" t="str">
        <x:f>VLOOKUP(B437,'Lookups &amp; Notes'!$A$4:$B$5,2,FALSE)</x:f>
        <x:v>Horeca</x:v>
      </x:c>
      <x:c r="K437" s="10" t="str">
        <x:f>VLOOKUP(C437,'Lookups &amp; Notes'!$A$8:$B$10,2,FALSE)</x:f>
        <x:v>Other</x:v>
      </x:c>
      <x:c r="L437" s="10" t="n">
        <x:f>SUM(D437:I437)</x:f>
        <x:v>32544</x:v>
      </x:c>
      <x:c r="M437" s="39" t="n">
        <x:f>IFERROR(F437/L437,0)</x:f>
        <x:v>0.24563667649950835</x:v>
      </x:c>
      <x:c r="N437" s="38" t="str">
        <x:f>IF(L437&gt;='Lookups &amp; Notes'!$E$4,"High Value","Standard")</x:f>
        <x:v>High Value</x:v>
      </x:c>
    </x:row>
    <x:row r="438">
      <x:c r="A438" s="38" t="str">
        <x:v>CUST-436</x:v>
      </x:c>
      <x:c r="B438" s="38" t="n">
        <x:f>'Raw Data'!A438</x:f>
        <x:v>1</x:v>
      </x:c>
      <x:c r="C438" s="38" t="n">
        <x:f>'Raw Data'!B438</x:f>
        <x:v>3</x:v>
      </x:c>
      <x:c r="D438" s="10" t="n">
        <x:f>'Raw Data'!C438</x:f>
        <x:v>29703</x:v>
      </x:c>
      <x:c r="E438" s="10" t="n">
        <x:f>'Raw Data'!D438</x:f>
        <x:v>12051</x:v>
      </x:c>
      <x:c r="F438" s="10" t="n">
        <x:f>'Raw Data'!E438</x:f>
        <x:v>16027</x:v>
      </x:c>
      <x:c r="G438" s="10" t="n">
        <x:f>'Raw Data'!F438</x:f>
        <x:v>13135</x:v>
      </x:c>
      <x:c r="H438" s="10" t="n">
        <x:f>'Raw Data'!G438</x:f>
        <x:v>182</x:v>
      </x:c>
      <x:c r="I438" s="10" t="n">
        <x:f>'Raw Data'!H438</x:f>
        <x:v>2204</x:v>
      </x:c>
      <x:c r="J438" s="10" t="str">
        <x:f>VLOOKUP(B438,'Lookups &amp; Notes'!$A$4:$B$5,2,FALSE)</x:f>
        <x:v>Horeca</x:v>
      </x:c>
      <x:c r="K438" s="10" t="str">
        <x:f>VLOOKUP(C438,'Lookups &amp; Notes'!$A$8:$B$10,2,FALSE)</x:f>
        <x:v>Other</x:v>
      </x:c>
      <x:c r="L438" s="10" t="n">
        <x:f>SUM(D438:I438)</x:f>
        <x:v>73302</x:v>
      </x:c>
      <x:c r="M438" s="39" t="n">
        <x:f>IFERROR(F438/L438,0)</x:f>
        <x:v>0.21864342037052195</x:v>
      </x:c>
      <x:c r="N438" s="38" t="str">
        <x:f>IF(L438&gt;='Lookups &amp; Notes'!$E$4,"High Value","Standard")</x:f>
        <x:v>High Value</x:v>
      </x:c>
    </x:row>
    <x:row r="439">
      <x:c r="A439" s="38" t="str">
        <x:v>CUST-437</x:v>
      </x:c>
      <x:c r="B439" s="38" t="n">
        <x:f>'Raw Data'!A439</x:f>
        <x:v>1</x:v>
      </x:c>
      <x:c r="C439" s="38" t="n">
        <x:f>'Raw Data'!B439</x:f>
        <x:v>3</x:v>
      </x:c>
      <x:c r="D439" s="10" t="n">
        <x:f>'Raw Data'!C439</x:f>
        <x:v>39228</x:v>
      </x:c>
      <x:c r="E439" s="10" t="n">
        <x:f>'Raw Data'!D439</x:f>
        <x:v>1431</x:v>
      </x:c>
      <x:c r="F439" s="10" t="n">
        <x:f>'Raw Data'!E439</x:f>
        <x:v>764</x:v>
      </x:c>
      <x:c r="G439" s="10" t="n">
        <x:f>'Raw Data'!F439</x:f>
        <x:v>4510</x:v>
      </x:c>
      <x:c r="H439" s="10" t="n">
        <x:f>'Raw Data'!G439</x:f>
        <x:v>93</x:v>
      </x:c>
      <x:c r="I439" s="10" t="n">
        <x:f>'Raw Data'!H439</x:f>
        <x:v>2346</x:v>
      </x:c>
      <x:c r="J439" s="10" t="str">
        <x:f>VLOOKUP(B439,'Lookups &amp; Notes'!$A$4:$B$5,2,FALSE)</x:f>
        <x:v>Horeca</x:v>
      </x:c>
      <x:c r="K439" s="10" t="str">
        <x:f>VLOOKUP(C439,'Lookups &amp; Notes'!$A$8:$B$10,2,FALSE)</x:f>
        <x:v>Other</x:v>
      </x:c>
      <x:c r="L439" s="10" t="n">
        <x:f>SUM(D439:I439)</x:f>
        <x:v>48372</x:v>
      </x:c>
      <x:c r="M439" s="39" t="n">
        <x:f>IFERROR(F439/L439,0)</x:f>
        <x:v>0.01579426114280989</x:v>
      </x:c>
      <x:c r="N439" s="38" t="str">
        <x:f>IF(L439&gt;='Lookups &amp; Notes'!$E$4,"High Value","Standard")</x:f>
        <x:v>High Value</x:v>
      </x:c>
    </x:row>
    <x:row r="440">
      <x:c r="A440" s="38" t="str">
        <x:v>CUST-438</x:v>
      </x:c>
      <x:c r="B440" s="38" t="n">
        <x:f>'Raw Data'!A440</x:f>
        <x:v>2</x:v>
      </x:c>
      <x:c r="C440" s="38" t="n">
        <x:f>'Raw Data'!B440</x:f>
        <x:v>3</x:v>
      </x:c>
      <x:c r="D440" s="10" t="n">
        <x:f>'Raw Data'!C440</x:f>
        <x:v>14531</x:v>
      </x:c>
      <x:c r="E440" s="10" t="n">
        <x:f>'Raw Data'!D440</x:f>
        <x:v>15488</x:v>
      </x:c>
      <x:c r="F440" s="10" t="n">
        <x:f>'Raw Data'!E440</x:f>
        <x:v>30243</x:v>
      </x:c>
      <x:c r="G440" s="10" t="n">
        <x:f>'Raw Data'!F440</x:f>
        <x:v>437</x:v>
      </x:c>
      <x:c r="H440" s="10" t="n">
        <x:f>'Raw Data'!G440</x:f>
        <x:v>14841</x:v>
      </x:c>
      <x:c r="I440" s="10" t="n">
        <x:f>'Raw Data'!H440</x:f>
        <x:v>1867</x:v>
      </x:c>
      <x:c r="J440" s="10" t="str">
        <x:f>VLOOKUP(B440,'Lookups &amp; Notes'!$A$4:$B$5,2,FALSE)</x:f>
        <x:v>Retail</x:v>
      </x:c>
      <x:c r="K440" s="10" t="str">
        <x:f>VLOOKUP(C440,'Lookups &amp; Notes'!$A$8:$B$10,2,FALSE)</x:f>
        <x:v>Other</x:v>
      </x:c>
      <x:c r="L440" s="10" t="n">
        <x:f>SUM(D440:I440)</x:f>
        <x:v>77407</x:v>
      </x:c>
      <x:c r="M440" s="39" t="n">
        <x:f>IFERROR(F440/L440,0)</x:f>
        <x:v>0.3907010993837767</x:v>
      </x:c>
      <x:c r="N440" s="38" t="str">
        <x:f>IF(L440&gt;='Lookups &amp; Notes'!$E$4,"High Value","Standard")</x:f>
        <x:v>High Value</x:v>
      </x:c>
    </x:row>
    <x:row r="441">
      <x:c r="A441" s="38" t="str">
        <x:v>CUST-439</x:v>
      </x:c>
      <x:c r="B441" s="38" t="n">
        <x:f>'Raw Data'!A441</x:f>
        <x:v>1</x:v>
      </x:c>
      <x:c r="C441" s="38" t="n">
        <x:f>'Raw Data'!B441</x:f>
        <x:v>3</x:v>
      </x:c>
      <x:c r="D441" s="10" t="n">
        <x:f>'Raw Data'!C441</x:f>
        <x:v>10290</x:v>
      </x:c>
      <x:c r="E441" s="10" t="n">
        <x:f>'Raw Data'!D441</x:f>
        <x:v>1981</x:v>
      </x:c>
      <x:c r="F441" s="10" t="n">
        <x:f>'Raw Data'!E441</x:f>
        <x:v>2232</x:v>
      </x:c>
      <x:c r="G441" s="10" t="n">
        <x:f>'Raw Data'!F441</x:f>
        <x:v>1038</x:v>
      </x:c>
      <x:c r="H441" s="10" t="n">
        <x:f>'Raw Data'!G441</x:f>
        <x:v>168</x:v>
      </x:c>
      <x:c r="I441" s="10" t="n">
        <x:f>'Raw Data'!H441</x:f>
        <x:v>2125</x:v>
      </x:c>
      <x:c r="J441" s="10" t="str">
        <x:f>VLOOKUP(B441,'Lookups &amp; Notes'!$A$4:$B$5,2,FALSE)</x:f>
        <x:v>Horeca</x:v>
      </x:c>
      <x:c r="K441" s="10" t="str">
        <x:f>VLOOKUP(C441,'Lookups &amp; Notes'!$A$8:$B$10,2,FALSE)</x:f>
        <x:v>Other</x:v>
      </x:c>
      <x:c r="L441" s="10" t="n">
        <x:f>SUM(D441:I441)</x:f>
        <x:v>17834</x:v>
      </x:c>
      <x:c r="M441" s="39" t="n">
        <x:f>IFERROR(F441/L441,0)</x:f>
        <x:v>0.12515419984299653</x:v>
      </x:c>
      <x:c r="N441" s="38" t="str">
        <x:f>IF(L441&gt;='Lookups &amp; Notes'!$E$4,"High Value","Standard")</x:f>
        <x:v>Standard</x:v>
      </x:c>
    </x:row>
    <x:row r="442">
      <x:c r="A442" s="40" t="str">
        <x:v>CUST-440</x:v>
      </x:c>
      <x:c r="B442" s="40" t="n">
        <x:f>'Raw Data'!A442</x:f>
        <x:v>1</x:v>
      </x:c>
      <x:c r="C442" s="40" t="n">
        <x:f>'Raw Data'!B442</x:f>
        <x:v>3</x:v>
      </x:c>
      <x:c r="D442" s="11" t="n">
        <x:f>'Raw Data'!C442</x:f>
        <x:v>2787</x:v>
      </x:c>
      <x:c r="E442" s="11" t="n">
        <x:f>'Raw Data'!D442</x:f>
        <x:v>1698</x:v>
      </x:c>
      <x:c r="F442" s="11" t="n">
        <x:f>'Raw Data'!E442</x:f>
        <x:v>2510</x:v>
      </x:c>
      <x:c r="G442" s="11" t="n">
        <x:f>'Raw Data'!F442</x:f>
        <x:v>65</x:v>
      </x:c>
      <x:c r="H442" s="11" t="n">
        <x:f>'Raw Data'!G442</x:f>
        <x:v>477</x:v>
      </x:c>
      <x:c r="I442" s="11" t="n">
        <x:f>'Raw Data'!H442</x:f>
        <x:v>52</x:v>
      </x:c>
      <x:c r="J442" s="11" t="str">
        <x:f>VLOOKUP(B442,'Lookups &amp; Notes'!$A$4:$B$5,2,FALSE)</x:f>
        <x:v>Horeca</x:v>
      </x:c>
      <x:c r="K442" s="11" t="str">
        <x:f>VLOOKUP(C442,'Lookups &amp; Notes'!$A$8:$B$10,2,FALSE)</x:f>
        <x:v>Other</x:v>
      </x:c>
      <x:c r="L442" s="11" t="n">
        <x:f>SUM(D442:I442)</x:f>
        <x:v>7589</x:v>
      </x:c>
      <x:c r="M442" s="41" t="n">
        <x:f>IFERROR(F442/L442,0)</x:f>
        <x:v>0.330741863223086</x:v>
      </x:c>
      <x:c r="N442" s="40" t="str">
        <x:f>IF(L442&gt;='Lookups &amp; Notes'!$E$4,"High Value","Standard")</x:f>
        <x:v>Standard</x:v>
      </x:c>
    </x:row>
  </x:sheetData>
  <x:mergeCells>
    <x:mergeCell ref="A1:N1"/>
  </x:mergeCells>
  <x:conditionalFormatting sqref="N3:N442">
    <x:cfRule type="containsText" dxfId="0" priority="1" operator="containsText" text="High Value"/>
  </x:conditionalFormatting>
  <x:conditionalFormatting sqref="L3:L442">
    <x:cfRule type="dataBar" priority="2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{AD2AFDD3-5977-7BE4-9137-A4DCA8EED9CD}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501f71e8d7146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D2AFDD3-5977-7BE4-9137-A4DCA8EED9CD}">
            <x14:dataBar gradient="1">
              <x14:cfvo type="min"/>
              <x14:cfvo type="max"/>
              <x14:fillColor rgb="FF2F75B5"/>
            </x14:dataBar>
          </x14:cfRule>
          <xm:sqref>L3:L442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2" t="str">
        <x:v>Raw Data — UCI Wholesale Customers</x:v>
      </x:c>
      <x:c r="B1" s="12" t="str">
        <x:v>Raw Data — UCI Wholesale Customers</x:v>
      </x:c>
      <x:c r="C1" s="12" t="str">
        <x:v>Raw Data — UCI Wholesale Customers</x:v>
      </x:c>
      <x:c r="D1" s="12" t="str">
        <x:v>Raw Data — UCI Wholesale Customers</x:v>
      </x:c>
      <x:c r="E1" s="12" t="str">
        <x:v>Raw Data — UCI Wholesale Customers</x:v>
      </x:c>
      <x:c r="F1" s="12" t="str">
        <x:v>Raw Data — UCI Wholesale Customers</x:v>
      </x:c>
      <x:c r="G1" s="12" t="str">
        <x:v>Raw Data — UCI Wholesale Customers</x:v>
      </x:c>
      <x:c r="H1" s="12" t="str">
        <x:v>Raw Data — UCI Wholesale Customers</x:v>
      </x:c>
    </x:row>
    <x:row r="2" ht="30" customHeight="1">
      <x:c r="A2" s="13" t="str">
        <x:v>Channel</x:v>
      </x:c>
      <x:c r="B2" s="13" t="str">
        <x:v>Region</x:v>
      </x:c>
      <x:c r="C2" s="13" t="str">
        <x:v>Fresh</x:v>
      </x:c>
      <x:c r="D2" s="13" t="str">
        <x:v>Milk</x:v>
      </x:c>
      <x:c r="E2" s="13" t="str">
        <x:v>Grocery</x:v>
      </x:c>
      <x:c r="F2" s="13" t="str">
        <x:v>Frozen</x:v>
      </x:c>
      <x:c r="G2" s="13" t="str">
        <x:v>Detergents_Paper</x:v>
      </x:c>
      <x:c r="H2" s="13" t="str">
        <x:v>Delicassen</x:v>
      </x:c>
    </x:row>
    <x:row r="3">
      <x:c r="A3" s="14" t="n">
        <x:v>2</x:v>
      </x:c>
      <x:c r="B3" s="14" t="n">
        <x:v>3</x:v>
      </x:c>
      <x:c r="C3" s="14" t="n">
        <x:v>12669</x:v>
      </x:c>
      <x:c r="D3" s="14" t="n">
        <x:v>9656</x:v>
      </x:c>
      <x:c r="E3" s="14" t="n">
        <x:v>7561</x:v>
      </x:c>
      <x:c r="F3" s="14" t="n">
        <x:v>214</x:v>
      </x:c>
      <x:c r="G3" s="14" t="n">
        <x:v>2674</x:v>
      </x:c>
      <x:c r="H3" s="14" t="n">
        <x:v>1338</x:v>
      </x:c>
    </x:row>
    <x:row r="4">
      <x:c r="A4" s="14" t="n">
        <x:v>2</x:v>
      </x:c>
      <x:c r="B4" s="14" t="n">
        <x:v>3</x:v>
      </x:c>
      <x:c r="C4" s="14" t="n">
        <x:v>7057</x:v>
      </x:c>
      <x:c r="D4" s="14" t="n">
        <x:v>9810</x:v>
      </x:c>
      <x:c r="E4" s="14" t="n">
        <x:v>9568</x:v>
      </x:c>
      <x:c r="F4" s="14" t="n">
        <x:v>1762</x:v>
      </x:c>
      <x:c r="G4" s="14" t="n">
        <x:v>3293</x:v>
      </x:c>
      <x:c r="H4" s="14" t="n">
        <x:v>1776</x:v>
      </x:c>
    </x:row>
    <x:row r="5">
      <x:c r="A5" s="14" t="n">
        <x:v>2</x:v>
      </x:c>
      <x:c r="B5" s="14" t="n">
        <x:v>3</x:v>
      </x:c>
      <x:c r="C5" s="14" t="n">
        <x:v>6353</x:v>
      </x:c>
      <x:c r="D5" s="14" t="n">
        <x:v>8808</x:v>
      </x:c>
      <x:c r="E5" s="14" t="n">
        <x:v>7684</x:v>
      </x:c>
      <x:c r="F5" s="14" t="n">
        <x:v>2405</x:v>
      </x:c>
      <x:c r="G5" s="14" t="n">
        <x:v>3516</x:v>
      </x:c>
      <x:c r="H5" s="14" t="n">
        <x:v>7844</x:v>
      </x:c>
    </x:row>
    <x:row r="6">
      <x:c r="A6" s="14" t="n">
        <x:v>1</x:v>
      </x:c>
      <x:c r="B6" s="14" t="n">
        <x:v>3</x:v>
      </x:c>
      <x:c r="C6" s="14" t="n">
        <x:v>13265</x:v>
      </x:c>
      <x:c r="D6" s="14" t="n">
        <x:v>1196</x:v>
      </x:c>
      <x:c r="E6" s="14" t="n">
        <x:v>4221</x:v>
      </x:c>
      <x:c r="F6" s="14" t="n">
        <x:v>6404</x:v>
      </x:c>
      <x:c r="G6" s="14" t="n">
        <x:v>507</x:v>
      </x:c>
      <x:c r="H6" s="14" t="n">
        <x:v>1788</x:v>
      </x:c>
    </x:row>
    <x:row r="7">
      <x:c r="A7" s="14" t="n">
        <x:v>2</x:v>
      </x:c>
      <x:c r="B7" s="14" t="n">
        <x:v>3</x:v>
      </x:c>
      <x:c r="C7" s="14" t="n">
        <x:v>22615</x:v>
      </x:c>
      <x:c r="D7" s="14" t="n">
        <x:v>5410</x:v>
      </x:c>
      <x:c r="E7" s="14" t="n">
        <x:v>7198</x:v>
      </x:c>
      <x:c r="F7" s="14" t="n">
        <x:v>3915</x:v>
      </x:c>
      <x:c r="G7" s="14" t="n">
        <x:v>1777</x:v>
      </x:c>
      <x:c r="H7" s="14" t="n">
        <x:v>5185</x:v>
      </x:c>
    </x:row>
    <x:row r="8">
      <x:c r="A8" s="14" t="n">
        <x:v>2</x:v>
      </x:c>
      <x:c r="B8" s="14" t="n">
        <x:v>3</x:v>
      </x:c>
      <x:c r="C8" s="14" t="n">
        <x:v>9413</x:v>
      </x:c>
      <x:c r="D8" s="14" t="n">
        <x:v>8259</x:v>
      </x:c>
      <x:c r="E8" s="14" t="n">
        <x:v>5126</x:v>
      </x:c>
      <x:c r="F8" s="14" t="n">
        <x:v>666</x:v>
      </x:c>
      <x:c r="G8" s="14" t="n">
        <x:v>1795</x:v>
      </x:c>
      <x:c r="H8" s="14" t="n">
        <x:v>1451</x:v>
      </x:c>
    </x:row>
    <x:row r="9">
      <x:c r="A9" s="14" t="n">
        <x:v>2</x:v>
      </x:c>
      <x:c r="B9" s="14" t="n">
        <x:v>3</x:v>
      </x:c>
      <x:c r="C9" s="14" t="n">
        <x:v>12126</x:v>
      </x:c>
      <x:c r="D9" s="14" t="n">
        <x:v>3199</x:v>
      </x:c>
      <x:c r="E9" s="14" t="n">
        <x:v>6975</x:v>
      </x:c>
      <x:c r="F9" s="14" t="n">
        <x:v>480</x:v>
      </x:c>
      <x:c r="G9" s="14" t="n">
        <x:v>3140</x:v>
      </x:c>
      <x:c r="H9" s="14" t="n">
        <x:v>545</x:v>
      </x:c>
    </x:row>
    <x:row r="10">
      <x:c r="A10" s="14" t="n">
        <x:v>2</x:v>
      </x:c>
      <x:c r="B10" s="14" t="n">
        <x:v>3</x:v>
      </x:c>
      <x:c r="C10" s="14" t="n">
        <x:v>7579</x:v>
      </x:c>
      <x:c r="D10" s="14" t="n">
        <x:v>4956</x:v>
      </x:c>
      <x:c r="E10" s="14" t="n">
        <x:v>9426</x:v>
      </x:c>
      <x:c r="F10" s="14" t="n">
        <x:v>1669</x:v>
      </x:c>
      <x:c r="G10" s="14" t="n">
        <x:v>3321</x:v>
      </x:c>
      <x:c r="H10" s="14" t="n">
        <x:v>2566</x:v>
      </x:c>
    </x:row>
    <x:row r="11">
      <x:c r="A11" s="14" t="n">
        <x:v>1</x:v>
      </x:c>
      <x:c r="B11" s="14" t="n">
        <x:v>3</x:v>
      </x:c>
      <x:c r="C11" s="14" t="n">
        <x:v>5963</x:v>
      </x:c>
      <x:c r="D11" s="14" t="n">
        <x:v>3648</x:v>
      </x:c>
      <x:c r="E11" s="14" t="n">
        <x:v>6192</x:v>
      </x:c>
      <x:c r="F11" s="14" t="n">
        <x:v>425</x:v>
      </x:c>
      <x:c r="G11" s="14" t="n">
        <x:v>1716</x:v>
      </x:c>
      <x:c r="H11" s="14" t="n">
        <x:v>750</x:v>
      </x:c>
    </x:row>
    <x:row r="12">
      <x:c r="A12" s="14" t="n">
        <x:v>2</x:v>
      </x:c>
      <x:c r="B12" s="14" t="n">
        <x:v>3</x:v>
      </x:c>
      <x:c r="C12" s="14" t="n">
        <x:v>6006</x:v>
      </x:c>
      <x:c r="D12" s="14" t="n">
        <x:v>11093</x:v>
      </x:c>
      <x:c r="E12" s="14" t="n">
        <x:v>18881</x:v>
      </x:c>
      <x:c r="F12" s="14" t="n">
        <x:v>1159</x:v>
      </x:c>
      <x:c r="G12" s="14" t="n">
        <x:v>7425</x:v>
      </x:c>
      <x:c r="H12" s="14" t="n">
        <x:v>2098</x:v>
      </x:c>
    </x:row>
    <x:row r="13">
      <x:c r="A13" s="14" t="n">
        <x:v>2</x:v>
      </x:c>
      <x:c r="B13" s="14" t="n">
        <x:v>3</x:v>
      </x:c>
      <x:c r="C13" s="14" t="n">
        <x:v>3366</x:v>
      </x:c>
      <x:c r="D13" s="14" t="n">
        <x:v>5403</x:v>
      </x:c>
      <x:c r="E13" s="14" t="n">
        <x:v>12974</x:v>
      </x:c>
      <x:c r="F13" s="14" t="n">
        <x:v>4400</x:v>
      </x:c>
      <x:c r="G13" s="14" t="n">
        <x:v>5977</x:v>
      </x:c>
      <x:c r="H13" s="14" t="n">
        <x:v>1744</x:v>
      </x:c>
    </x:row>
    <x:row r="14">
      <x:c r="A14" s="14" t="n">
        <x:v>2</x:v>
      </x:c>
      <x:c r="B14" s="14" t="n">
        <x:v>3</x:v>
      </x:c>
      <x:c r="C14" s="14" t="n">
        <x:v>13146</x:v>
      </x:c>
      <x:c r="D14" s="14" t="n">
        <x:v>1124</x:v>
      </x:c>
      <x:c r="E14" s="14" t="n">
        <x:v>4523</x:v>
      </x:c>
      <x:c r="F14" s="14" t="n">
        <x:v>1420</x:v>
      </x:c>
      <x:c r="G14" s="14" t="n">
        <x:v>549</x:v>
      </x:c>
      <x:c r="H14" s="14" t="n">
        <x:v>497</x:v>
      </x:c>
    </x:row>
    <x:row r="15">
      <x:c r="A15" s="14" t="n">
        <x:v>2</x:v>
      </x:c>
      <x:c r="B15" s="14" t="n">
        <x:v>3</x:v>
      </x:c>
      <x:c r="C15" s="14" t="n">
        <x:v>31714</x:v>
      </x:c>
      <x:c r="D15" s="14" t="n">
        <x:v>12319</x:v>
      </x:c>
      <x:c r="E15" s="14" t="n">
        <x:v>11757</x:v>
      </x:c>
      <x:c r="F15" s="14" t="n">
        <x:v>287</x:v>
      </x:c>
      <x:c r="G15" s="14" t="n">
        <x:v>3881</x:v>
      </x:c>
      <x:c r="H15" s="14" t="n">
        <x:v>2931</x:v>
      </x:c>
    </x:row>
    <x:row r="16">
      <x:c r="A16" s="14" t="n">
        <x:v>2</x:v>
      </x:c>
      <x:c r="B16" s="14" t="n">
        <x:v>3</x:v>
      </x:c>
      <x:c r="C16" s="14" t="n">
        <x:v>21217</x:v>
      </x:c>
      <x:c r="D16" s="14" t="n">
        <x:v>6208</x:v>
      </x:c>
      <x:c r="E16" s="14" t="n">
        <x:v>14982</x:v>
      </x:c>
      <x:c r="F16" s="14" t="n">
        <x:v>3095</x:v>
      </x:c>
      <x:c r="G16" s="14" t="n">
        <x:v>6707</x:v>
      </x:c>
      <x:c r="H16" s="14" t="n">
        <x:v>602</x:v>
      </x:c>
    </x:row>
    <x:row r="17">
      <x:c r="A17" s="14" t="n">
        <x:v>2</x:v>
      </x:c>
      <x:c r="B17" s="14" t="n">
        <x:v>3</x:v>
      </x:c>
      <x:c r="C17" s="14" t="n">
        <x:v>24653</x:v>
      </x:c>
      <x:c r="D17" s="14" t="n">
        <x:v>9465</x:v>
      </x:c>
      <x:c r="E17" s="14" t="n">
        <x:v>12091</x:v>
      </x:c>
      <x:c r="F17" s="14" t="n">
        <x:v>294</x:v>
      </x:c>
      <x:c r="G17" s="14" t="n">
        <x:v>5058</x:v>
      </x:c>
      <x:c r="H17" s="14" t="n">
        <x:v>2168</x:v>
      </x:c>
    </x:row>
    <x:row r="18">
      <x:c r="A18" s="14" t="n">
        <x:v>1</x:v>
      </x:c>
      <x:c r="B18" s="14" t="n">
        <x:v>3</x:v>
      </x:c>
      <x:c r="C18" s="14" t="n">
        <x:v>10253</x:v>
      </x:c>
      <x:c r="D18" s="14" t="n">
        <x:v>1114</x:v>
      </x:c>
      <x:c r="E18" s="14" t="n">
        <x:v>3821</x:v>
      </x:c>
      <x:c r="F18" s="14" t="n">
        <x:v>397</x:v>
      </x:c>
      <x:c r="G18" s="14" t="n">
        <x:v>964</x:v>
      </x:c>
      <x:c r="H18" s="14" t="n">
        <x:v>412</x:v>
      </x:c>
    </x:row>
    <x:row r="19">
      <x:c r="A19" s="14" t="n">
        <x:v>2</x:v>
      </x:c>
      <x:c r="B19" s="14" t="n">
        <x:v>3</x:v>
      </x:c>
      <x:c r="C19" s="14" t="n">
        <x:v>1020</x:v>
      </x:c>
      <x:c r="D19" s="14" t="n">
        <x:v>8816</x:v>
      </x:c>
      <x:c r="E19" s="14" t="n">
        <x:v>12121</x:v>
      </x:c>
      <x:c r="F19" s="14" t="n">
        <x:v>134</x:v>
      </x:c>
      <x:c r="G19" s="14" t="n">
        <x:v>4508</x:v>
      </x:c>
      <x:c r="H19" s="14" t="n">
        <x:v>1080</x:v>
      </x:c>
    </x:row>
    <x:row r="20">
      <x:c r="A20" s="14" t="n">
        <x:v>1</x:v>
      </x:c>
      <x:c r="B20" s="14" t="n">
        <x:v>3</x:v>
      </x:c>
      <x:c r="C20" s="14" t="n">
        <x:v>5876</x:v>
      </x:c>
      <x:c r="D20" s="14" t="n">
        <x:v>6157</x:v>
      </x:c>
      <x:c r="E20" s="14" t="n">
        <x:v>2933</x:v>
      </x:c>
      <x:c r="F20" s="14" t="n">
        <x:v>839</x:v>
      </x:c>
      <x:c r="G20" s="14" t="n">
        <x:v>370</x:v>
      </x:c>
      <x:c r="H20" s="14" t="n">
        <x:v>4478</x:v>
      </x:c>
    </x:row>
    <x:row r="21">
      <x:c r="A21" s="14" t="n">
        <x:v>2</x:v>
      </x:c>
      <x:c r="B21" s="14" t="n">
        <x:v>3</x:v>
      </x:c>
      <x:c r="C21" s="14" t="n">
        <x:v>18601</x:v>
      </x:c>
      <x:c r="D21" s="14" t="n">
        <x:v>6327</x:v>
      </x:c>
      <x:c r="E21" s="14" t="n">
        <x:v>10099</x:v>
      </x:c>
      <x:c r="F21" s="14" t="n">
        <x:v>2205</x:v>
      </x:c>
      <x:c r="G21" s="14" t="n">
        <x:v>2767</x:v>
      </x:c>
      <x:c r="H21" s="14" t="n">
        <x:v>3181</x:v>
      </x:c>
    </x:row>
    <x:row r="22">
      <x:c r="A22" s="14" t="n">
        <x:v>1</x:v>
      </x:c>
      <x:c r="B22" s="14" t="n">
        <x:v>3</x:v>
      </x:c>
      <x:c r="C22" s="14" t="n">
        <x:v>7780</x:v>
      </x:c>
      <x:c r="D22" s="14" t="n">
        <x:v>2495</x:v>
      </x:c>
      <x:c r="E22" s="14" t="n">
        <x:v>9464</x:v>
      </x:c>
      <x:c r="F22" s="14" t="n">
        <x:v>669</x:v>
      </x:c>
      <x:c r="G22" s="14" t="n">
        <x:v>2518</x:v>
      </x:c>
      <x:c r="H22" s="14" t="n">
        <x:v>501</x:v>
      </x:c>
    </x:row>
    <x:row r="23">
      <x:c r="A23" s="14" t="n">
        <x:v>2</x:v>
      </x:c>
      <x:c r="B23" s="14" t="n">
        <x:v>3</x:v>
      </x:c>
      <x:c r="C23" s="14" t="n">
        <x:v>17546</x:v>
      </x:c>
      <x:c r="D23" s="14" t="n">
        <x:v>4519</x:v>
      </x:c>
      <x:c r="E23" s="14" t="n">
        <x:v>4602</x:v>
      </x:c>
      <x:c r="F23" s="14" t="n">
        <x:v>1066</x:v>
      </x:c>
      <x:c r="G23" s="14" t="n">
        <x:v>2259</x:v>
      </x:c>
      <x:c r="H23" s="14" t="n">
        <x:v>2124</x:v>
      </x:c>
    </x:row>
    <x:row r="24">
      <x:c r="A24" s="14" t="n">
        <x:v>1</x:v>
      </x:c>
      <x:c r="B24" s="14" t="n">
        <x:v>3</x:v>
      </x:c>
      <x:c r="C24" s="14" t="n">
        <x:v>5567</x:v>
      </x:c>
      <x:c r="D24" s="14" t="n">
        <x:v>871</x:v>
      </x:c>
      <x:c r="E24" s="14" t="n">
        <x:v>2010</x:v>
      </x:c>
      <x:c r="F24" s="14" t="n">
        <x:v>3383</x:v>
      </x:c>
      <x:c r="G24" s="14" t="n">
        <x:v>375</x:v>
      </x:c>
      <x:c r="H24" s="14" t="n">
        <x:v>569</x:v>
      </x:c>
    </x:row>
    <x:row r="25">
      <x:c r="A25" s="14" t="n">
        <x:v>1</x:v>
      </x:c>
      <x:c r="B25" s="14" t="n">
        <x:v>3</x:v>
      </x:c>
      <x:c r="C25" s="14" t="n">
        <x:v>31276</x:v>
      </x:c>
      <x:c r="D25" s="14" t="n">
        <x:v>1917</x:v>
      </x:c>
      <x:c r="E25" s="14" t="n">
        <x:v>4469</x:v>
      </x:c>
      <x:c r="F25" s="14" t="n">
        <x:v>9408</x:v>
      </x:c>
      <x:c r="G25" s="14" t="n">
        <x:v>2381</x:v>
      </x:c>
      <x:c r="H25" s="14" t="n">
        <x:v>4334</x:v>
      </x:c>
    </x:row>
    <x:row r="26">
      <x:c r="A26" s="14" t="n">
        <x:v>2</x:v>
      </x:c>
      <x:c r="B26" s="14" t="n">
        <x:v>3</x:v>
      </x:c>
      <x:c r="C26" s="14" t="n">
        <x:v>26373</x:v>
      </x:c>
      <x:c r="D26" s="14" t="n">
        <x:v>36423</x:v>
      </x:c>
      <x:c r="E26" s="14" t="n">
        <x:v>22019</x:v>
      </x:c>
      <x:c r="F26" s="14" t="n">
        <x:v>5154</x:v>
      </x:c>
      <x:c r="G26" s="14" t="n">
        <x:v>4337</x:v>
      </x:c>
      <x:c r="H26" s="14" t="n">
        <x:v>16523</x:v>
      </x:c>
    </x:row>
    <x:row r="27">
      <x:c r="A27" s="14" t="n">
        <x:v>2</x:v>
      </x:c>
      <x:c r="B27" s="14" t="n">
        <x:v>3</x:v>
      </x:c>
      <x:c r="C27" s="14" t="n">
        <x:v>22647</x:v>
      </x:c>
      <x:c r="D27" s="14" t="n">
        <x:v>9776</x:v>
      </x:c>
      <x:c r="E27" s="14" t="n">
        <x:v>13792</x:v>
      </x:c>
      <x:c r="F27" s="14" t="n">
        <x:v>2915</x:v>
      </x:c>
      <x:c r="G27" s="14" t="n">
        <x:v>4482</x:v>
      </x:c>
      <x:c r="H27" s="14" t="n">
        <x:v>5778</x:v>
      </x:c>
    </x:row>
    <x:row r="28">
      <x:c r="A28" s="14" t="n">
        <x:v>2</x:v>
      </x:c>
      <x:c r="B28" s="14" t="n">
        <x:v>3</x:v>
      </x:c>
      <x:c r="C28" s="14" t="n">
        <x:v>16165</x:v>
      </x:c>
      <x:c r="D28" s="14" t="n">
        <x:v>4230</x:v>
      </x:c>
      <x:c r="E28" s="14" t="n">
        <x:v>7595</x:v>
      </x:c>
      <x:c r="F28" s="14" t="n">
        <x:v>201</x:v>
      </x:c>
      <x:c r="G28" s="14" t="n">
        <x:v>4003</x:v>
      </x:c>
      <x:c r="H28" s="14" t="n">
        <x:v>57</x:v>
      </x:c>
    </x:row>
    <x:row r="29">
      <x:c r="A29" s="14" t="n">
        <x:v>1</x:v>
      </x:c>
      <x:c r="B29" s="14" t="n">
        <x:v>3</x:v>
      </x:c>
      <x:c r="C29" s="14" t="n">
        <x:v>9898</x:v>
      </x:c>
      <x:c r="D29" s="14" t="n">
        <x:v>961</x:v>
      </x:c>
      <x:c r="E29" s="14" t="n">
        <x:v>2861</x:v>
      </x:c>
      <x:c r="F29" s="14" t="n">
        <x:v>3151</x:v>
      </x:c>
      <x:c r="G29" s="14" t="n">
        <x:v>242</x:v>
      </x:c>
      <x:c r="H29" s="14" t="n">
        <x:v>833</x:v>
      </x:c>
    </x:row>
    <x:row r="30">
      <x:c r="A30" s="14" t="n">
        <x:v>1</x:v>
      </x:c>
      <x:c r="B30" s="14" t="n">
        <x:v>3</x:v>
      </x:c>
      <x:c r="C30" s="14" t="n">
        <x:v>14276</x:v>
      </x:c>
      <x:c r="D30" s="14" t="n">
        <x:v>803</x:v>
      </x:c>
      <x:c r="E30" s="14" t="n">
        <x:v>3045</x:v>
      </x:c>
      <x:c r="F30" s="14" t="n">
        <x:v>485</x:v>
      </x:c>
      <x:c r="G30" s="14" t="n">
        <x:v>100</x:v>
      </x:c>
      <x:c r="H30" s="14" t="n">
        <x:v>518</x:v>
      </x:c>
    </x:row>
    <x:row r="31">
      <x:c r="A31" s="14" t="n">
        <x:v>2</x:v>
      </x:c>
      <x:c r="B31" s="14" t="n">
        <x:v>3</x:v>
      </x:c>
      <x:c r="C31" s="14" t="n">
        <x:v>4113</x:v>
      </x:c>
      <x:c r="D31" s="14" t="n">
        <x:v>20484</x:v>
      </x:c>
      <x:c r="E31" s="14" t="n">
        <x:v>25957</x:v>
      </x:c>
      <x:c r="F31" s="14" t="n">
        <x:v>1158</x:v>
      </x:c>
      <x:c r="G31" s="14" t="n">
        <x:v>8604</x:v>
      </x:c>
      <x:c r="H31" s="14" t="n">
        <x:v>5206</x:v>
      </x:c>
    </x:row>
    <x:row r="32">
      <x:c r="A32" s="14" t="n">
        <x:v>1</x:v>
      </x:c>
      <x:c r="B32" s="14" t="n">
        <x:v>3</x:v>
      </x:c>
      <x:c r="C32" s="14" t="n">
        <x:v>43088</x:v>
      </x:c>
      <x:c r="D32" s="14" t="n">
        <x:v>2100</x:v>
      </x:c>
      <x:c r="E32" s="14" t="n">
        <x:v>2609</x:v>
      </x:c>
      <x:c r="F32" s="14" t="n">
        <x:v>1200</x:v>
      </x:c>
      <x:c r="G32" s="14" t="n">
        <x:v>1107</x:v>
      </x:c>
      <x:c r="H32" s="14" t="n">
        <x:v>823</x:v>
      </x:c>
    </x:row>
    <x:row r="33">
      <x:c r="A33" s="14" t="n">
        <x:v>1</x:v>
      </x:c>
      <x:c r="B33" s="14" t="n">
        <x:v>3</x:v>
      </x:c>
      <x:c r="C33" s="14" t="n">
        <x:v>18815</x:v>
      </x:c>
      <x:c r="D33" s="14" t="n">
        <x:v>3610</x:v>
      </x:c>
      <x:c r="E33" s="14" t="n">
        <x:v>11107</x:v>
      </x:c>
      <x:c r="F33" s="14" t="n">
        <x:v>1148</x:v>
      </x:c>
      <x:c r="G33" s="14" t="n">
        <x:v>2134</x:v>
      </x:c>
      <x:c r="H33" s="14" t="n">
        <x:v>2963</x:v>
      </x:c>
    </x:row>
    <x:row r="34">
      <x:c r="A34" s="14" t="n">
        <x:v>1</x:v>
      </x:c>
      <x:c r="B34" s="14" t="n">
        <x:v>3</x:v>
      </x:c>
      <x:c r="C34" s="14" t="n">
        <x:v>2612</x:v>
      </x:c>
      <x:c r="D34" s="14" t="n">
        <x:v>4339</x:v>
      </x:c>
      <x:c r="E34" s="14" t="n">
        <x:v>3133</x:v>
      </x:c>
      <x:c r="F34" s="14" t="n">
        <x:v>2088</x:v>
      </x:c>
      <x:c r="G34" s="14" t="n">
        <x:v>820</x:v>
      </x:c>
      <x:c r="H34" s="14" t="n">
        <x:v>985</x:v>
      </x:c>
    </x:row>
    <x:row r="35">
      <x:c r="A35" s="14" t="n">
        <x:v>1</x:v>
      </x:c>
      <x:c r="B35" s="14" t="n">
        <x:v>3</x:v>
      </x:c>
      <x:c r="C35" s="14" t="n">
        <x:v>21632</x:v>
      </x:c>
      <x:c r="D35" s="14" t="n">
        <x:v>1318</x:v>
      </x:c>
      <x:c r="E35" s="14" t="n">
        <x:v>2886</x:v>
      </x:c>
      <x:c r="F35" s="14" t="n">
        <x:v>266</x:v>
      </x:c>
      <x:c r="G35" s="14" t="n">
        <x:v>918</x:v>
      </x:c>
      <x:c r="H35" s="14" t="n">
        <x:v>405</x:v>
      </x:c>
    </x:row>
    <x:row r="36">
      <x:c r="A36" s="14" t="n">
        <x:v>1</x:v>
      </x:c>
      <x:c r="B36" s="14" t="n">
        <x:v>3</x:v>
      </x:c>
      <x:c r="C36" s="14" t="n">
        <x:v>29729</x:v>
      </x:c>
      <x:c r="D36" s="14" t="n">
        <x:v>4786</x:v>
      </x:c>
      <x:c r="E36" s="14" t="n">
        <x:v>7326</x:v>
      </x:c>
      <x:c r="F36" s="14" t="n">
        <x:v>6130</x:v>
      </x:c>
      <x:c r="G36" s="14" t="n">
        <x:v>361</x:v>
      </x:c>
      <x:c r="H36" s="14" t="n">
        <x:v>1083</x:v>
      </x:c>
    </x:row>
    <x:row r="37">
      <x:c r="A37" s="14" t="n">
        <x:v>1</x:v>
      </x:c>
      <x:c r="B37" s="14" t="n">
        <x:v>3</x:v>
      </x:c>
      <x:c r="C37" s="14" t="n">
        <x:v>1502</x:v>
      </x:c>
      <x:c r="D37" s="14" t="n">
        <x:v>1979</x:v>
      </x:c>
      <x:c r="E37" s="14" t="n">
        <x:v>2262</x:v>
      </x:c>
      <x:c r="F37" s="14" t="n">
        <x:v>425</x:v>
      </x:c>
      <x:c r="G37" s="14" t="n">
        <x:v>483</x:v>
      </x:c>
      <x:c r="H37" s="14" t="n">
        <x:v>395</x:v>
      </x:c>
    </x:row>
    <x:row r="38">
      <x:c r="A38" s="14" t="n">
        <x:v>2</x:v>
      </x:c>
      <x:c r="B38" s="14" t="n">
        <x:v>3</x:v>
      </x:c>
      <x:c r="C38" s="14" t="n">
        <x:v>688</x:v>
      </x:c>
      <x:c r="D38" s="14" t="n">
        <x:v>5491</x:v>
      </x:c>
      <x:c r="E38" s="14" t="n">
        <x:v>11091</x:v>
      </x:c>
      <x:c r="F38" s="14" t="n">
        <x:v>833</x:v>
      </x:c>
      <x:c r="G38" s="14" t="n">
        <x:v>4239</x:v>
      </x:c>
      <x:c r="H38" s="14" t="n">
        <x:v>436</x:v>
      </x:c>
    </x:row>
    <x:row r="39">
      <x:c r="A39" s="14" t="n">
        <x:v>1</x:v>
      </x:c>
      <x:c r="B39" s="14" t="n">
        <x:v>3</x:v>
      </x:c>
      <x:c r="C39" s="14" t="n">
        <x:v>29955</x:v>
      </x:c>
      <x:c r="D39" s="14" t="n">
        <x:v>4362</x:v>
      </x:c>
      <x:c r="E39" s="14" t="n">
        <x:v>5428</x:v>
      </x:c>
      <x:c r="F39" s="14" t="n">
        <x:v>1729</x:v>
      </x:c>
      <x:c r="G39" s="14" t="n">
        <x:v>862</x:v>
      </x:c>
      <x:c r="H39" s="14" t="n">
        <x:v>4626</x:v>
      </x:c>
    </x:row>
    <x:row r="40">
      <x:c r="A40" s="14" t="n">
        <x:v>2</x:v>
      </x:c>
      <x:c r="B40" s="14" t="n">
        <x:v>3</x:v>
      </x:c>
      <x:c r="C40" s="14" t="n">
        <x:v>15168</x:v>
      </x:c>
      <x:c r="D40" s="14" t="n">
        <x:v>10556</x:v>
      </x:c>
      <x:c r="E40" s="14" t="n">
        <x:v>12477</x:v>
      </x:c>
      <x:c r="F40" s="14" t="n">
        <x:v>1920</x:v>
      </x:c>
      <x:c r="G40" s="14" t="n">
        <x:v>6506</x:v>
      </x:c>
      <x:c r="H40" s="14" t="n">
        <x:v>714</x:v>
      </x:c>
    </x:row>
    <x:row r="41">
      <x:c r="A41" s="14" t="n">
        <x:v>2</x:v>
      </x:c>
      <x:c r="B41" s="14" t="n">
        <x:v>3</x:v>
      </x:c>
      <x:c r="C41" s="14" t="n">
        <x:v>4591</x:v>
      </x:c>
      <x:c r="D41" s="14" t="n">
        <x:v>15729</x:v>
      </x:c>
      <x:c r="E41" s="14" t="n">
        <x:v>16709</x:v>
      </x:c>
      <x:c r="F41" s="14" t="n">
        <x:v>33</x:v>
      </x:c>
      <x:c r="G41" s="14" t="n">
        <x:v>6956</x:v>
      </x:c>
      <x:c r="H41" s="14" t="n">
        <x:v>433</x:v>
      </x:c>
    </x:row>
    <x:row r="42">
      <x:c r="A42" s="14" t="n">
        <x:v>1</x:v>
      </x:c>
      <x:c r="B42" s="14" t="n">
        <x:v>3</x:v>
      </x:c>
      <x:c r="C42" s="14" t="n">
        <x:v>56159</x:v>
      </x:c>
      <x:c r="D42" s="14" t="n">
        <x:v>555</x:v>
      </x:c>
      <x:c r="E42" s="14" t="n">
        <x:v>902</x:v>
      </x:c>
      <x:c r="F42" s="14" t="n">
        <x:v>10002</x:v>
      </x:c>
      <x:c r="G42" s="14" t="n">
        <x:v>212</x:v>
      </x:c>
      <x:c r="H42" s="14" t="n">
        <x:v>2916</x:v>
      </x:c>
    </x:row>
    <x:row r="43">
      <x:c r="A43" s="14" t="n">
        <x:v>1</x:v>
      </x:c>
      <x:c r="B43" s="14" t="n">
        <x:v>3</x:v>
      </x:c>
      <x:c r="C43" s="14" t="n">
        <x:v>24025</x:v>
      </x:c>
      <x:c r="D43" s="14" t="n">
        <x:v>4332</x:v>
      </x:c>
      <x:c r="E43" s="14" t="n">
        <x:v>4757</x:v>
      </x:c>
      <x:c r="F43" s="14" t="n">
        <x:v>9510</x:v>
      </x:c>
      <x:c r="G43" s="14" t="n">
        <x:v>1145</x:v>
      </x:c>
      <x:c r="H43" s="14" t="n">
        <x:v>5864</x:v>
      </x:c>
    </x:row>
    <x:row r="44">
      <x:c r="A44" s="14" t="n">
        <x:v>1</x:v>
      </x:c>
      <x:c r="B44" s="14" t="n">
        <x:v>3</x:v>
      </x:c>
      <x:c r="C44" s="14" t="n">
        <x:v>19176</x:v>
      </x:c>
      <x:c r="D44" s="14" t="n">
        <x:v>3065</x:v>
      </x:c>
      <x:c r="E44" s="14" t="n">
        <x:v>5956</x:v>
      </x:c>
      <x:c r="F44" s="14" t="n">
        <x:v>2033</x:v>
      </x:c>
      <x:c r="G44" s="14" t="n">
        <x:v>2575</x:v>
      </x:c>
      <x:c r="H44" s="14" t="n">
        <x:v>2802</x:v>
      </x:c>
    </x:row>
    <x:row r="45">
      <x:c r="A45" s="14" t="n">
        <x:v>2</x:v>
      </x:c>
      <x:c r="B45" s="14" t="n">
        <x:v>3</x:v>
      </x:c>
      <x:c r="C45" s="14" t="n">
        <x:v>10850</x:v>
      </x:c>
      <x:c r="D45" s="14" t="n">
        <x:v>7555</x:v>
      </x:c>
      <x:c r="E45" s="14" t="n">
        <x:v>14961</x:v>
      </x:c>
      <x:c r="F45" s="14" t="n">
        <x:v>188</x:v>
      </x:c>
      <x:c r="G45" s="14" t="n">
        <x:v>6899</x:v>
      </x:c>
      <x:c r="H45" s="14" t="n">
        <x:v>46</x:v>
      </x:c>
    </x:row>
    <x:row r="46">
      <x:c r="A46" s="14" t="n">
        <x:v>2</x:v>
      </x:c>
      <x:c r="B46" s="14" t="n">
        <x:v>3</x:v>
      </x:c>
      <x:c r="C46" s="14" t="n">
        <x:v>630</x:v>
      </x:c>
      <x:c r="D46" s="14" t="n">
        <x:v>11095</x:v>
      </x:c>
      <x:c r="E46" s="14" t="n">
        <x:v>23998</x:v>
      </x:c>
      <x:c r="F46" s="14" t="n">
        <x:v>787</x:v>
      </x:c>
      <x:c r="G46" s="14" t="n">
        <x:v>9529</x:v>
      </x:c>
      <x:c r="H46" s="14" t="n">
        <x:v>72</x:v>
      </x:c>
    </x:row>
    <x:row r="47">
      <x:c r="A47" s="14" t="n">
        <x:v>2</x:v>
      </x:c>
      <x:c r="B47" s="14" t="n">
        <x:v>3</x:v>
      </x:c>
      <x:c r="C47" s="14" t="n">
        <x:v>9670</x:v>
      </x:c>
      <x:c r="D47" s="14" t="n">
        <x:v>7027</x:v>
      </x:c>
      <x:c r="E47" s="14" t="n">
        <x:v>10471</x:v>
      </x:c>
      <x:c r="F47" s="14" t="n">
        <x:v>541</x:v>
      </x:c>
      <x:c r="G47" s="14" t="n">
        <x:v>4618</x:v>
      </x:c>
      <x:c r="H47" s="14" t="n">
        <x:v>65</x:v>
      </x:c>
    </x:row>
    <x:row r="48">
      <x:c r="A48" s="14" t="n">
        <x:v>2</x:v>
      </x:c>
      <x:c r="B48" s="14" t="n">
        <x:v>3</x:v>
      </x:c>
      <x:c r="C48" s="14" t="n">
        <x:v>5181</x:v>
      </x:c>
      <x:c r="D48" s="14" t="n">
        <x:v>22044</x:v>
      </x:c>
      <x:c r="E48" s="14" t="n">
        <x:v>21531</x:v>
      </x:c>
      <x:c r="F48" s="14" t="n">
        <x:v>1740</x:v>
      </x:c>
      <x:c r="G48" s="14" t="n">
        <x:v>7353</x:v>
      </x:c>
      <x:c r="H48" s="14" t="n">
        <x:v>4985</x:v>
      </x:c>
    </x:row>
    <x:row r="49">
      <x:c r="A49" s="14" t="n">
        <x:v>2</x:v>
      </x:c>
      <x:c r="B49" s="14" t="n">
        <x:v>3</x:v>
      </x:c>
      <x:c r="C49" s="14" t="n">
        <x:v>3103</x:v>
      </x:c>
      <x:c r="D49" s="14" t="n">
        <x:v>14069</x:v>
      </x:c>
      <x:c r="E49" s="14" t="n">
        <x:v>21955</x:v>
      </x:c>
      <x:c r="F49" s="14" t="n">
        <x:v>1668</x:v>
      </x:c>
      <x:c r="G49" s="14" t="n">
        <x:v>6792</x:v>
      </x:c>
      <x:c r="H49" s="14" t="n">
        <x:v>1452</x:v>
      </x:c>
    </x:row>
    <x:row r="50">
      <x:c r="A50" s="14" t="n">
        <x:v>2</x:v>
      </x:c>
      <x:c r="B50" s="14" t="n">
        <x:v>3</x:v>
      </x:c>
      <x:c r="C50" s="14" t="n">
        <x:v>44466</x:v>
      </x:c>
      <x:c r="D50" s="14" t="n">
        <x:v>54259</x:v>
      </x:c>
      <x:c r="E50" s="14" t="n">
        <x:v>55571</x:v>
      </x:c>
      <x:c r="F50" s="14" t="n">
        <x:v>7782</x:v>
      </x:c>
      <x:c r="G50" s="14" t="n">
        <x:v>24171</x:v>
      </x:c>
      <x:c r="H50" s="14" t="n">
        <x:v>6465</x:v>
      </x:c>
    </x:row>
    <x:row r="51">
      <x:c r="A51" s="14" t="n">
        <x:v>2</x:v>
      </x:c>
      <x:c r="B51" s="14" t="n">
        <x:v>3</x:v>
      </x:c>
      <x:c r="C51" s="14" t="n">
        <x:v>11519</x:v>
      </x:c>
      <x:c r="D51" s="14" t="n">
        <x:v>6152</x:v>
      </x:c>
      <x:c r="E51" s="14" t="n">
        <x:v>10868</x:v>
      </x:c>
      <x:c r="F51" s="14" t="n">
        <x:v>584</x:v>
      </x:c>
      <x:c r="G51" s="14" t="n">
        <x:v>5121</x:v>
      </x:c>
      <x:c r="H51" s="14" t="n">
        <x:v>1476</x:v>
      </x:c>
    </x:row>
    <x:row r="52">
      <x:c r="A52" s="14" t="n">
        <x:v>2</x:v>
      </x:c>
      <x:c r="B52" s="14" t="n">
        <x:v>3</x:v>
      </x:c>
      <x:c r="C52" s="14" t="n">
        <x:v>4967</x:v>
      </x:c>
      <x:c r="D52" s="14" t="n">
        <x:v>21412</x:v>
      </x:c>
      <x:c r="E52" s="14" t="n">
        <x:v>28921</x:v>
      </x:c>
      <x:c r="F52" s="14" t="n">
        <x:v>1798</x:v>
      </x:c>
      <x:c r="G52" s="14" t="n">
        <x:v>13583</x:v>
      </x:c>
      <x:c r="H52" s="14" t="n">
        <x:v>1163</x:v>
      </x:c>
    </x:row>
    <x:row r="53">
      <x:c r="A53" s="14" t="n">
        <x:v>1</x:v>
      </x:c>
      <x:c r="B53" s="14" t="n">
        <x:v>3</x:v>
      </x:c>
      <x:c r="C53" s="14" t="n">
        <x:v>6269</x:v>
      </x:c>
      <x:c r="D53" s="14" t="n">
        <x:v>1095</x:v>
      </x:c>
      <x:c r="E53" s="14" t="n">
        <x:v>1980</x:v>
      </x:c>
      <x:c r="F53" s="14" t="n">
        <x:v>3860</x:v>
      </x:c>
      <x:c r="G53" s="14" t="n">
        <x:v>609</x:v>
      </x:c>
      <x:c r="H53" s="14" t="n">
        <x:v>2162</x:v>
      </x:c>
    </x:row>
    <x:row r="54">
      <x:c r="A54" s="14" t="n">
        <x:v>1</x:v>
      </x:c>
      <x:c r="B54" s="14" t="n">
        <x:v>3</x:v>
      </x:c>
      <x:c r="C54" s="14" t="n">
        <x:v>3347</x:v>
      </x:c>
      <x:c r="D54" s="14" t="n">
        <x:v>4051</x:v>
      </x:c>
      <x:c r="E54" s="14" t="n">
        <x:v>6996</x:v>
      </x:c>
      <x:c r="F54" s="14" t="n">
        <x:v>239</x:v>
      </x:c>
      <x:c r="G54" s="14" t="n">
        <x:v>1538</x:v>
      </x:c>
      <x:c r="H54" s="14" t="n">
        <x:v>301</x:v>
      </x:c>
    </x:row>
    <x:row r="55">
      <x:c r="A55" s="14" t="n">
        <x:v>2</x:v>
      </x:c>
      <x:c r="B55" s="14" t="n">
        <x:v>3</x:v>
      </x:c>
      <x:c r="C55" s="14" t="n">
        <x:v>40721</x:v>
      </x:c>
      <x:c r="D55" s="14" t="n">
        <x:v>3916</x:v>
      </x:c>
      <x:c r="E55" s="14" t="n">
        <x:v>5876</x:v>
      </x:c>
      <x:c r="F55" s="14" t="n">
        <x:v>532</x:v>
      </x:c>
      <x:c r="G55" s="14" t="n">
        <x:v>2587</x:v>
      </x:c>
      <x:c r="H55" s="14" t="n">
        <x:v>1278</x:v>
      </x:c>
    </x:row>
    <x:row r="56">
      <x:c r="A56" s="14" t="n">
        <x:v>2</x:v>
      </x:c>
      <x:c r="B56" s="14" t="n">
        <x:v>3</x:v>
      </x:c>
      <x:c r="C56" s="14" t="n">
        <x:v>491</x:v>
      </x:c>
      <x:c r="D56" s="14" t="n">
        <x:v>10473</x:v>
      </x:c>
      <x:c r="E56" s="14" t="n">
        <x:v>11532</x:v>
      </x:c>
      <x:c r="F56" s="14" t="n">
        <x:v>744</x:v>
      </x:c>
      <x:c r="G56" s="14" t="n">
        <x:v>5611</x:v>
      </x:c>
      <x:c r="H56" s="14" t="n">
        <x:v>224</x:v>
      </x:c>
    </x:row>
    <x:row r="57">
      <x:c r="A57" s="14" t="n">
        <x:v>1</x:v>
      </x:c>
      <x:c r="B57" s="14" t="n">
        <x:v>3</x:v>
      </x:c>
      <x:c r="C57" s="14" t="n">
        <x:v>27329</x:v>
      </x:c>
      <x:c r="D57" s="14" t="n">
        <x:v>1449</x:v>
      </x:c>
      <x:c r="E57" s="14" t="n">
        <x:v>1947</x:v>
      </x:c>
      <x:c r="F57" s="14" t="n">
        <x:v>2436</x:v>
      </x:c>
      <x:c r="G57" s="14" t="n">
        <x:v>204</x:v>
      </x:c>
      <x:c r="H57" s="14" t="n">
        <x:v>1333</x:v>
      </x:c>
    </x:row>
    <x:row r="58">
      <x:c r="A58" s="14" t="n">
        <x:v>1</x:v>
      </x:c>
      <x:c r="B58" s="14" t="n">
        <x:v>3</x:v>
      </x:c>
      <x:c r="C58" s="14" t="n">
        <x:v>5264</x:v>
      </x:c>
      <x:c r="D58" s="14" t="n">
        <x:v>3683</x:v>
      </x:c>
      <x:c r="E58" s="14" t="n">
        <x:v>5005</x:v>
      </x:c>
      <x:c r="F58" s="14" t="n">
        <x:v>1057</x:v>
      </x:c>
      <x:c r="G58" s="14" t="n">
        <x:v>2024</x:v>
      </x:c>
      <x:c r="H58" s="14" t="n">
        <x:v>1130</x:v>
      </x:c>
    </x:row>
    <x:row r="59">
      <x:c r="A59" s="14" t="n">
        <x:v>2</x:v>
      </x:c>
      <x:c r="B59" s="14" t="n">
        <x:v>3</x:v>
      </x:c>
      <x:c r="C59" s="14" t="n">
        <x:v>4098</x:v>
      </x:c>
      <x:c r="D59" s="14" t="n">
        <x:v>29892</x:v>
      </x:c>
      <x:c r="E59" s="14" t="n">
        <x:v>26866</x:v>
      </x:c>
      <x:c r="F59" s="14" t="n">
        <x:v>2616</x:v>
      </x:c>
      <x:c r="G59" s="14" t="n">
        <x:v>17740</x:v>
      </x:c>
      <x:c r="H59" s="14" t="n">
        <x:v>1340</x:v>
      </x:c>
    </x:row>
    <x:row r="60">
      <x:c r="A60" s="14" t="n">
        <x:v>2</x:v>
      </x:c>
      <x:c r="B60" s="14" t="n">
        <x:v>3</x:v>
      </x:c>
      <x:c r="C60" s="14" t="n">
        <x:v>5417</x:v>
      </x:c>
      <x:c r="D60" s="14" t="n">
        <x:v>9933</x:v>
      </x:c>
      <x:c r="E60" s="14" t="n">
        <x:v>10487</x:v>
      </x:c>
      <x:c r="F60" s="14" t="n">
        <x:v>38</x:v>
      </x:c>
      <x:c r="G60" s="14" t="n">
        <x:v>7572</x:v>
      </x:c>
      <x:c r="H60" s="14" t="n">
        <x:v>1282</x:v>
      </x:c>
    </x:row>
    <x:row r="61">
      <x:c r="A61" s="14" t="n">
        <x:v>1</x:v>
      </x:c>
      <x:c r="B61" s="14" t="n">
        <x:v>3</x:v>
      </x:c>
      <x:c r="C61" s="14" t="n">
        <x:v>13779</x:v>
      </x:c>
      <x:c r="D61" s="14" t="n">
        <x:v>1970</x:v>
      </x:c>
      <x:c r="E61" s="14" t="n">
        <x:v>1648</x:v>
      </x:c>
      <x:c r="F61" s="14" t="n">
        <x:v>596</x:v>
      </x:c>
      <x:c r="G61" s="14" t="n">
        <x:v>227</x:v>
      </x:c>
      <x:c r="H61" s="14" t="n">
        <x:v>436</x:v>
      </x:c>
    </x:row>
    <x:row r="62">
      <x:c r="A62" s="14" t="n">
        <x:v>1</x:v>
      </x:c>
      <x:c r="B62" s="14" t="n">
        <x:v>3</x:v>
      </x:c>
      <x:c r="C62" s="14" t="n">
        <x:v>6137</x:v>
      </x:c>
      <x:c r="D62" s="14" t="n">
        <x:v>5360</x:v>
      </x:c>
      <x:c r="E62" s="14" t="n">
        <x:v>8040</x:v>
      </x:c>
      <x:c r="F62" s="14" t="n">
        <x:v>129</x:v>
      </x:c>
      <x:c r="G62" s="14" t="n">
        <x:v>3084</x:v>
      </x:c>
      <x:c r="H62" s="14" t="n">
        <x:v>1603</x:v>
      </x:c>
    </x:row>
    <x:row r="63">
      <x:c r="A63" s="14" t="n">
        <x:v>2</x:v>
      </x:c>
      <x:c r="B63" s="14" t="n">
        <x:v>3</x:v>
      </x:c>
      <x:c r="C63" s="14" t="n">
        <x:v>8590</x:v>
      </x:c>
      <x:c r="D63" s="14" t="n">
        <x:v>3045</x:v>
      </x:c>
      <x:c r="E63" s="14" t="n">
        <x:v>7854</x:v>
      </x:c>
      <x:c r="F63" s="14" t="n">
        <x:v>96</x:v>
      </x:c>
      <x:c r="G63" s="14" t="n">
        <x:v>4095</x:v>
      </x:c>
      <x:c r="H63" s="14" t="n">
        <x:v>225</x:v>
      </x:c>
    </x:row>
    <x:row r="64">
      <x:c r="A64" s="14" t="n">
        <x:v>2</x:v>
      </x:c>
      <x:c r="B64" s="14" t="n">
        <x:v>3</x:v>
      </x:c>
      <x:c r="C64" s="14" t="n">
        <x:v>35942</x:v>
      </x:c>
      <x:c r="D64" s="14" t="n">
        <x:v>38369</x:v>
      </x:c>
      <x:c r="E64" s="14" t="n">
        <x:v>59598</x:v>
      </x:c>
      <x:c r="F64" s="14" t="n">
        <x:v>3254</x:v>
      </x:c>
      <x:c r="G64" s="14" t="n">
        <x:v>26701</x:v>
      </x:c>
      <x:c r="H64" s="14" t="n">
        <x:v>2017</x:v>
      </x:c>
    </x:row>
    <x:row r="65">
      <x:c r="A65" s="14" t="n">
        <x:v>2</x:v>
      </x:c>
      <x:c r="B65" s="14" t="n">
        <x:v>3</x:v>
      </x:c>
      <x:c r="C65" s="14" t="n">
        <x:v>7823</x:v>
      </x:c>
      <x:c r="D65" s="14" t="n">
        <x:v>6245</x:v>
      </x:c>
      <x:c r="E65" s="14" t="n">
        <x:v>6544</x:v>
      </x:c>
      <x:c r="F65" s="14" t="n">
        <x:v>4154</x:v>
      </x:c>
      <x:c r="G65" s="14" t="n">
        <x:v>4074</x:v>
      </x:c>
      <x:c r="H65" s="14" t="n">
        <x:v>964</x:v>
      </x:c>
    </x:row>
    <x:row r="66">
      <x:c r="A66" s="14" t="n">
        <x:v>2</x:v>
      </x:c>
      <x:c r="B66" s="14" t="n">
        <x:v>3</x:v>
      </x:c>
      <x:c r="C66" s="14" t="n">
        <x:v>9396</x:v>
      </x:c>
      <x:c r="D66" s="14" t="n">
        <x:v>11601</x:v>
      </x:c>
      <x:c r="E66" s="14" t="n">
        <x:v>15775</x:v>
      </x:c>
      <x:c r="F66" s="14" t="n">
        <x:v>2896</x:v>
      </x:c>
      <x:c r="G66" s="14" t="n">
        <x:v>7677</x:v>
      </x:c>
      <x:c r="H66" s="14" t="n">
        <x:v>1295</x:v>
      </x:c>
    </x:row>
    <x:row r="67">
      <x:c r="A67" s="14" t="n">
        <x:v>1</x:v>
      </x:c>
      <x:c r="B67" s="14" t="n">
        <x:v>3</x:v>
      </x:c>
      <x:c r="C67" s="14" t="n">
        <x:v>4760</x:v>
      </x:c>
      <x:c r="D67" s="14" t="n">
        <x:v>1227</x:v>
      </x:c>
      <x:c r="E67" s="14" t="n">
        <x:v>3250</x:v>
      </x:c>
      <x:c r="F67" s="14" t="n">
        <x:v>3724</x:v>
      </x:c>
      <x:c r="G67" s="14" t="n">
        <x:v>1247</x:v>
      </x:c>
      <x:c r="H67" s="14" t="n">
        <x:v>1145</x:v>
      </x:c>
    </x:row>
    <x:row r="68">
      <x:c r="A68" s="14" t="n">
        <x:v>2</x:v>
      </x:c>
      <x:c r="B68" s="14" t="n">
        <x:v>3</x:v>
      </x:c>
      <x:c r="C68" s="14" t="n">
        <x:v>85</x:v>
      </x:c>
      <x:c r="D68" s="14" t="n">
        <x:v>20959</x:v>
      </x:c>
      <x:c r="E68" s="14" t="n">
        <x:v>45828</x:v>
      </x:c>
      <x:c r="F68" s="14" t="n">
        <x:v>36</x:v>
      </x:c>
      <x:c r="G68" s="14" t="n">
        <x:v>24231</x:v>
      </x:c>
      <x:c r="H68" s="14" t="n">
        <x:v>1423</x:v>
      </x:c>
    </x:row>
    <x:row r="69">
      <x:c r="A69" s="14" t="n">
        <x:v>1</x:v>
      </x:c>
      <x:c r="B69" s="14" t="n">
        <x:v>3</x:v>
      </x:c>
      <x:c r="C69" s="14" t="n">
        <x:v>9</x:v>
      </x:c>
      <x:c r="D69" s="14" t="n">
        <x:v>1534</x:v>
      </x:c>
      <x:c r="E69" s="14" t="n">
        <x:v>7417</x:v>
      </x:c>
      <x:c r="F69" s="14" t="n">
        <x:v>175</x:v>
      </x:c>
      <x:c r="G69" s="14" t="n">
        <x:v>3468</x:v>
      </x:c>
      <x:c r="H69" s="14" t="n">
        <x:v>27</x:v>
      </x:c>
    </x:row>
    <x:row r="70">
      <x:c r="A70" s="14" t="n">
        <x:v>2</x:v>
      </x:c>
      <x:c r="B70" s="14" t="n">
        <x:v>3</x:v>
      </x:c>
      <x:c r="C70" s="14" t="n">
        <x:v>19913</x:v>
      </x:c>
      <x:c r="D70" s="14" t="n">
        <x:v>6759</x:v>
      </x:c>
      <x:c r="E70" s="14" t="n">
        <x:v>13462</x:v>
      </x:c>
      <x:c r="F70" s="14" t="n">
        <x:v>1256</x:v>
      </x:c>
      <x:c r="G70" s="14" t="n">
        <x:v>5141</x:v>
      </x:c>
      <x:c r="H70" s="14" t="n">
        <x:v>834</x:v>
      </x:c>
    </x:row>
    <x:row r="71">
      <x:c r="A71" s="14" t="n">
        <x:v>1</x:v>
      </x:c>
      <x:c r="B71" s="14" t="n">
        <x:v>3</x:v>
      </x:c>
      <x:c r="C71" s="14" t="n">
        <x:v>2446</x:v>
      </x:c>
      <x:c r="D71" s="14" t="n">
        <x:v>7260</x:v>
      </x:c>
      <x:c r="E71" s="14" t="n">
        <x:v>3993</x:v>
      </x:c>
      <x:c r="F71" s="14" t="n">
        <x:v>5870</x:v>
      </x:c>
      <x:c r="G71" s="14" t="n">
        <x:v>788</x:v>
      </x:c>
      <x:c r="H71" s="14" t="n">
        <x:v>3095</x:v>
      </x:c>
    </x:row>
    <x:row r="72">
      <x:c r="A72" s="14" t="n">
        <x:v>1</x:v>
      </x:c>
      <x:c r="B72" s="14" t="n">
        <x:v>3</x:v>
      </x:c>
      <x:c r="C72" s="14" t="n">
        <x:v>8352</x:v>
      </x:c>
      <x:c r="D72" s="14" t="n">
        <x:v>2820</x:v>
      </x:c>
      <x:c r="E72" s="14" t="n">
        <x:v>1293</x:v>
      </x:c>
      <x:c r="F72" s="14" t="n">
        <x:v>779</x:v>
      </x:c>
      <x:c r="G72" s="14" t="n">
        <x:v>656</x:v>
      </x:c>
      <x:c r="H72" s="14" t="n">
        <x:v>144</x:v>
      </x:c>
    </x:row>
    <x:row r="73">
      <x:c r="A73" s="14" t="n">
        <x:v>1</x:v>
      </x:c>
      <x:c r="B73" s="14" t="n">
        <x:v>3</x:v>
      </x:c>
      <x:c r="C73" s="14" t="n">
        <x:v>16705</x:v>
      </x:c>
      <x:c r="D73" s="14" t="n">
        <x:v>2037</x:v>
      </x:c>
      <x:c r="E73" s="14" t="n">
        <x:v>3202</x:v>
      </x:c>
      <x:c r="F73" s="14" t="n">
        <x:v>10643</x:v>
      </x:c>
      <x:c r="G73" s="14" t="n">
        <x:v>116</x:v>
      </x:c>
      <x:c r="H73" s="14" t="n">
        <x:v>1365</x:v>
      </x:c>
    </x:row>
    <x:row r="74">
      <x:c r="A74" s="14" t="n">
        <x:v>1</x:v>
      </x:c>
      <x:c r="B74" s="14" t="n">
        <x:v>3</x:v>
      </x:c>
      <x:c r="C74" s="14" t="n">
        <x:v>18291</x:v>
      </x:c>
      <x:c r="D74" s="14" t="n">
        <x:v>1266</x:v>
      </x:c>
      <x:c r="E74" s="14" t="n">
        <x:v>21042</x:v>
      </x:c>
      <x:c r="F74" s="14" t="n">
        <x:v>5373</x:v>
      </x:c>
      <x:c r="G74" s="14" t="n">
        <x:v>4173</x:v>
      </x:c>
      <x:c r="H74" s="14" t="n">
        <x:v>14472</x:v>
      </x:c>
    </x:row>
    <x:row r="75">
      <x:c r="A75" s="14" t="n">
        <x:v>1</x:v>
      </x:c>
      <x:c r="B75" s="14" t="n">
        <x:v>3</x:v>
      </x:c>
      <x:c r="C75" s="14" t="n">
        <x:v>4420</x:v>
      </x:c>
      <x:c r="D75" s="14" t="n">
        <x:v>5139</x:v>
      </x:c>
      <x:c r="E75" s="14" t="n">
        <x:v>2661</x:v>
      </x:c>
      <x:c r="F75" s="14" t="n">
        <x:v>8872</x:v>
      </x:c>
      <x:c r="G75" s="14" t="n">
        <x:v>1321</x:v>
      </x:c>
      <x:c r="H75" s="14" t="n">
        <x:v>181</x:v>
      </x:c>
    </x:row>
    <x:row r="76">
      <x:c r="A76" s="14" t="n">
        <x:v>2</x:v>
      </x:c>
      <x:c r="B76" s="14" t="n">
        <x:v>3</x:v>
      </x:c>
      <x:c r="C76" s="14" t="n">
        <x:v>19899</x:v>
      </x:c>
      <x:c r="D76" s="14" t="n">
        <x:v>5332</x:v>
      </x:c>
      <x:c r="E76" s="14" t="n">
        <x:v>8713</x:v>
      </x:c>
      <x:c r="F76" s="14" t="n">
        <x:v>8132</x:v>
      </x:c>
      <x:c r="G76" s="14" t="n">
        <x:v>764</x:v>
      </x:c>
      <x:c r="H76" s="14" t="n">
        <x:v>648</x:v>
      </x:c>
    </x:row>
    <x:row r="77">
      <x:c r="A77" s="14" t="n">
        <x:v>2</x:v>
      </x:c>
      <x:c r="B77" s="14" t="n">
        <x:v>3</x:v>
      </x:c>
      <x:c r="C77" s="14" t="n">
        <x:v>8190</x:v>
      </x:c>
      <x:c r="D77" s="14" t="n">
        <x:v>6343</x:v>
      </x:c>
      <x:c r="E77" s="14" t="n">
        <x:v>9794</x:v>
      </x:c>
      <x:c r="F77" s="14" t="n">
        <x:v>1285</x:v>
      </x:c>
      <x:c r="G77" s="14" t="n">
        <x:v>1901</x:v>
      </x:c>
      <x:c r="H77" s="14" t="n">
        <x:v>1780</x:v>
      </x:c>
    </x:row>
    <x:row r="78">
      <x:c r="A78" s="14" t="n">
        <x:v>1</x:v>
      </x:c>
      <x:c r="B78" s="14" t="n">
        <x:v>3</x:v>
      </x:c>
      <x:c r="C78" s="14" t="n">
        <x:v>20398</x:v>
      </x:c>
      <x:c r="D78" s="14" t="n">
        <x:v>1137</x:v>
      </x:c>
      <x:c r="E78" s="14" t="n">
        <x:v>3</x:v>
      </x:c>
      <x:c r="F78" s="14" t="n">
        <x:v>4407</x:v>
      </x:c>
      <x:c r="G78" s="14" t="n">
        <x:v>3</x:v>
      </x:c>
      <x:c r="H78" s="14" t="n">
        <x:v>975</x:v>
      </x:c>
    </x:row>
    <x:row r="79">
      <x:c r="A79" s="14" t="n">
        <x:v>1</x:v>
      </x:c>
      <x:c r="B79" s="14" t="n">
        <x:v>3</x:v>
      </x:c>
      <x:c r="C79" s="14" t="n">
        <x:v>717</x:v>
      </x:c>
      <x:c r="D79" s="14" t="n">
        <x:v>3587</x:v>
      </x:c>
      <x:c r="E79" s="14" t="n">
        <x:v>6532</x:v>
      </x:c>
      <x:c r="F79" s="14" t="n">
        <x:v>7530</x:v>
      </x:c>
      <x:c r="G79" s="14" t="n">
        <x:v>529</x:v>
      </x:c>
      <x:c r="H79" s="14" t="n">
        <x:v>894</x:v>
      </x:c>
    </x:row>
    <x:row r="80">
      <x:c r="A80" s="14" t="n">
        <x:v>2</x:v>
      </x:c>
      <x:c r="B80" s="14" t="n">
        <x:v>3</x:v>
      </x:c>
      <x:c r="C80" s="14" t="n">
        <x:v>12205</x:v>
      </x:c>
      <x:c r="D80" s="14" t="n">
        <x:v>12697</x:v>
      </x:c>
      <x:c r="E80" s="14" t="n">
        <x:v>28540</x:v>
      </x:c>
      <x:c r="F80" s="14" t="n">
        <x:v>869</x:v>
      </x:c>
      <x:c r="G80" s="14" t="n">
        <x:v>12034</x:v>
      </x:c>
      <x:c r="H80" s="14" t="n">
        <x:v>1009</x:v>
      </x:c>
    </x:row>
    <x:row r="81">
      <x:c r="A81" s="14" t="n">
        <x:v>1</x:v>
      </x:c>
      <x:c r="B81" s="14" t="n">
        <x:v>3</x:v>
      </x:c>
      <x:c r="C81" s="14" t="n">
        <x:v>10766</x:v>
      </x:c>
      <x:c r="D81" s="14" t="n">
        <x:v>1175</x:v>
      </x:c>
      <x:c r="E81" s="14" t="n">
        <x:v>2067</x:v>
      </x:c>
      <x:c r="F81" s="14" t="n">
        <x:v>2096</x:v>
      </x:c>
      <x:c r="G81" s="14" t="n">
        <x:v>301</x:v>
      </x:c>
      <x:c r="H81" s="14" t="n">
        <x:v>167</x:v>
      </x:c>
    </x:row>
    <x:row r="82">
      <x:c r="A82" s="14" t="n">
        <x:v>1</x:v>
      </x:c>
      <x:c r="B82" s="14" t="n">
        <x:v>3</x:v>
      </x:c>
      <x:c r="C82" s="14" t="n">
        <x:v>1640</x:v>
      </x:c>
      <x:c r="D82" s="14" t="n">
        <x:v>3259</x:v>
      </x:c>
      <x:c r="E82" s="14" t="n">
        <x:v>3655</x:v>
      </x:c>
      <x:c r="F82" s="14" t="n">
        <x:v>868</x:v>
      </x:c>
      <x:c r="G82" s="14" t="n">
        <x:v>1202</x:v>
      </x:c>
      <x:c r="H82" s="14" t="n">
        <x:v>1653</x:v>
      </x:c>
    </x:row>
    <x:row r="83">
      <x:c r="A83" s="14" t="n">
        <x:v>1</x:v>
      </x:c>
      <x:c r="B83" s="14" t="n">
        <x:v>3</x:v>
      </x:c>
      <x:c r="C83" s="14" t="n">
        <x:v>7005</x:v>
      </x:c>
      <x:c r="D83" s="14" t="n">
        <x:v>829</x:v>
      </x:c>
      <x:c r="E83" s="14" t="n">
        <x:v>3009</x:v>
      </x:c>
      <x:c r="F83" s="14" t="n">
        <x:v>430</x:v>
      </x:c>
      <x:c r="G83" s="14" t="n">
        <x:v>610</x:v>
      </x:c>
      <x:c r="H83" s="14" t="n">
        <x:v>529</x:v>
      </x:c>
    </x:row>
    <x:row r="84">
      <x:c r="A84" s="14" t="n">
        <x:v>2</x:v>
      </x:c>
      <x:c r="B84" s="14" t="n">
        <x:v>3</x:v>
      </x:c>
      <x:c r="C84" s="14" t="n">
        <x:v>219</x:v>
      </x:c>
      <x:c r="D84" s="14" t="n">
        <x:v>9540</x:v>
      </x:c>
      <x:c r="E84" s="14" t="n">
        <x:v>14403</x:v>
      </x:c>
      <x:c r="F84" s="14" t="n">
        <x:v>283</x:v>
      </x:c>
      <x:c r="G84" s="14" t="n">
        <x:v>7818</x:v>
      </x:c>
      <x:c r="H84" s="14" t="n">
        <x:v>156</x:v>
      </x:c>
    </x:row>
    <x:row r="85">
      <x:c r="A85" s="14" t="n">
        <x:v>2</x:v>
      </x:c>
      <x:c r="B85" s="14" t="n">
        <x:v>3</x:v>
      </x:c>
      <x:c r="C85" s="14" t="n">
        <x:v>10362</x:v>
      </x:c>
      <x:c r="D85" s="14" t="n">
        <x:v>9232</x:v>
      </x:c>
      <x:c r="E85" s="14" t="n">
        <x:v>11009</x:v>
      </x:c>
      <x:c r="F85" s="14" t="n">
        <x:v>737</x:v>
      </x:c>
      <x:c r="G85" s="14" t="n">
        <x:v>3537</x:v>
      </x:c>
      <x:c r="H85" s="14" t="n">
        <x:v>2342</x:v>
      </x:c>
    </x:row>
    <x:row r="86">
      <x:c r="A86" s="14" t="n">
        <x:v>1</x:v>
      </x:c>
      <x:c r="B86" s="14" t="n">
        <x:v>3</x:v>
      </x:c>
      <x:c r="C86" s="14" t="n">
        <x:v>20874</x:v>
      </x:c>
      <x:c r="D86" s="14" t="n">
        <x:v>1563</x:v>
      </x:c>
      <x:c r="E86" s="14" t="n">
        <x:v>1783</x:v>
      </x:c>
      <x:c r="F86" s="14" t="n">
        <x:v>2320</x:v>
      </x:c>
      <x:c r="G86" s="14" t="n">
        <x:v>550</x:v>
      </x:c>
      <x:c r="H86" s="14" t="n">
        <x:v>772</x:v>
      </x:c>
    </x:row>
    <x:row r="87">
      <x:c r="A87" s="14" t="n">
        <x:v>2</x:v>
      </x:c>
      <x:c r="B87" s="14" t="n">
        <x:v>3</x:v>
      </x:c>
      <x:c r="C87" s="14" t="n">
        <x:v>11867</x:v>
      </x:c>
      <x:c r="D87" s="14" t="n">
        <x:v>3327</x:v>
      </x:c>
      <x:c r="E87" s="14" t="n">
        <x:v>4814</x:v>
      </x:c>
      <x:c r="F87" s="14" t="n">
        <x:v>1178</x:v>
      </x:c>
      <x:c r="G87" s="14" t="n">
        <x:v>3837</x:v>
      </x:c>
      <x:c r="H87" s="14" t="n">
        <x:v>120</x:v>
      </x:c>
    </x:row>
    <x:row r="88">
      <x:c r="A88" s="14" t="n">
        <x:v>2</x:v>
      </x:c>
      <x:c r="B88" s="14" t="n">
        <x:v>3</x:v>
      </x:c>
      <x:c r="C88" s="14" t="n">
        <x:v>16117</x:v>
      </x:c>
      <x:c r="D88" s="14" t="n">
        <x:v>46197</x:v>
      </x:c>
      <x:c r="E88" s="14" t="n">
        <x:v>92780</x:v>
      </x:c>
      <x:c r="F88" s="14" t="n">
        <x:v>1026</x:v>
      </x:c>
      <x:c r="G88" s="14" t="n">
        <x:v>40827</x:v>
      </x:c>
      <x:c r="H88" s="14" t="n">
        <x:v>2944</x:v>
      </x:c>
    </x:row>
    <x:row r="89">
      <x:c r="A89" s="14" t="n">
        <x:v>2</x:v>
      </x:c>
      <x:c r="B89" s="14" t="n">
        <x:v>3</x:v>
      </x:c>
      <x:c r="C89" s="14" t="n">
        <x:v>22925</x:v>
      </x:c>
      <x:c r="D89" s="14" t="n">
        <x:v>73498</x:v>
      </x:c>
      <x:c r="E89" s="14" t="n">
        <x:v>32114</x:v>
      </x:c>
      <x:c r="F89" s="14" t="n">
        <x:v>987</x:v>
      </x:c>
      <x:c r="G89" s="14" t="n">
        <x:v>20070</x:v>
      </x:c>
      <x:c r="H89" s="14" t="n">
        <x:v>903</x:v>
      </x:c>
    </x:row>
    <x:row r="90">
      <x:c r="A90" s="14" t="n">
        <x:v>1</x:v>
      </x:c>
      <x:c r="B90" s="14" t="n">
        <x:v>3</x:v>
      </x:c>
      <x:c r="C90" s="14" t="n">
        <x:v>43265</x:v>
      </x:c>
      <x:c r="D90" s="14" t="n">
        <x:v>5025</x:v>
      </x:c>
      <x:c r="E90" s="14" t="n">
        <x:v>8117</x:v>
      </x:c>
      <x:c r="F90" s="14" t="n">
        <x:v>6312</x:v>
      </x:c>
      <x:c r="G90" s="14" t="n">
        <x:v>1579</x:v>
      </x:c>
      <x:c r="H90" s="14" t="n">
        <x:v>14351</x:v>
      </x:c>
    </x:row>
    <x:row r="91">
      <x:c r="A91" s="14" t="n">
        <x:v>1</x:v>
      </x:c>
      <x:c r="B91" s="14" t="n">
        <x:v>3</x:v>
      </x:c>
      <x:c r="C91" s="14" t="n">
        <x:v>7864</x:v>
      </x:c>
      <x:c r="D91" s="14" t="n">
        <x:v>542</x:v>
      </x:c>
      <x:c r="E91" s="14" t="n">
        <x:v>4042</x:v>
      </x:c>
      <x:c r="F91" s="14" t="n">
        <x:v>9735</x:v>
      </x:c>
      <x:c r="G91" s="14" t="n">
        <x:v>165</x:v>
      </x:c>
      <x:c r="H91" s="14" t="n">
        <x:v>46</x:v>
      </x:c>
    </x:row>
    <x:row r="92">
      <x:c r="A92" s="14" t="n">
        <x:v>1</x:v>
      </x:c>
      <x:c r="B92" s="14" t="n">
        <x:v>3</x:v>
      </x:c>
      <x:c r="C92" s="14" t="n">
        <x:v>24904</x:v>
      </x:c>
      <x:c r="D92" s="14" t="n">
        <x:v>3836</x:v>
      </x:c>
      <x:c r="E92" s="14" t="n">
        <x:v>5330</x:v>
      </x:c>
      <x:c r="F92" s="14" t="n">
        <x:v>3443</x:v>
      </x:c>
      <x:c r="G92" s="14" t="n">
        <x:v>454</x:v>
      </x:c>
      <x:c r="H92" s="14" t="n">
        <x:v>3178</x:v>
      </x:c>
    </x:row>
    <x:row r="93">
      <x:c r="A93" s="14" t="n">
        <x:v>1</x:v>
      </x:c>
      <x:c r="B93" s="14" t="n">
        <x:v>3</x:v>
      </x:c>
      <x:c r="C93" s="14" t="n">
        <x:v>11405</x:v>
      </x:c>
      <x:c r="D93" s="14" t="n">
        <x:v>596</x:v>
      </x:c>
      <x:c r="E93" s="14" t="n">
        <x:v>1638</x:v>
      </x:c>
      <x:c r="F93" s="14" t="n">
        <x:v>3347</x:v>
      </x:c>
      <x:c r="G93" s="14" t="n">
        <x:v>69</x:v>
      </x:c>
      <x:c r="H93" s="14" t="n">
        <x:v>360</x:v>
      </x:c>
    </x:row>
    <x:row r="94">
      <x:c r="A94" s="14" t="n">
        <x:v>1</x:v>
      </x:c>
      <x:c r="B94" s="14" t="n">
        <x:v>3</x:v>
      </x:c>
      <x:c r="C94" s="14" t="n">
        <x:v>12754</x:v>
      </x:c>
      <x:c r="D94" s="14" t="n">
        <x:v>2762</x:v>
      </x:c>
      <x:c r="E94" s="14" t="n">
        <x:v>2530</x:v>
      </x:c>
      <x:c r="F94" s="14" t="n">
        <x:v>8693</x:v>
      </x:c>
      <x:c r="G94" s="14" t="n">
        <x:v>627</x:v>
      </x:c>
      <x:c r="H94" s="14" t="n">
        <x:v>1117</x:v>
      </x:c>
    </x:row>
    <x:row r="95">
      <x:c r="A95" s="14" t="n">
        <x:v>2</x:v>
      </x:c>
      <x:c r="B95" s="14" t="n">
        <x:v>3</x:v>
      </x:c>
      <x:c r="C95" s="14" t="n">
        <x:v>9198</x:v>
      </x:c>
      <x:c r="D95" s="14" t="n">
        <x:v>27472</x:v>
      </x:c>
      <x:c r="E95" s="14" t="n">
        <x:v>32034</x:v>
      </x:c>
      <x:c r="F95" s="14" t="n">
        <x:v>3232</x:v>
      </x:c>
      <x:c r="G95" s="14" t="n">
        <x:v>18906</x:v>
      </x:c>
      <x:c r="H95" s="14" t="n">
        <x:v>5130</x:v>
      </x:c>
    </x:row>
    <x:row r="96">
      <x:c r="A96" s="14" t="n">
        <x:v>1</x:v>
      </x:c>
      <x:c r="B96" s="14" t="n">
        <x:v>3</x:v>
      </x:c>
      <x:c r="C96" s="14" t="n">
        <x:v>11314</x:v>
      </x:c>
      <x:c r="D96" s="14" t="n">
        <x:v>3090</x:v>
      </x:c>
      <x:c r="E96" s="14" t="n">
        <x:v>2062</x:v>
      </x:c>
      <x:c r="F96" s="14" t="n">
        <x:v>35009</x:v>
      </x:c>
      <x:c r="G96" s="14" t="n">
        <x:v>71</x:v>
      </x:c>
      <x:c r="H96" s="14" t="n">
        <x:v>2698</x:v>
      </x:c>
    </x:row>
    <x:row r="97">
      <x:c r="A97" s="14" t="n">
        <x:v>2</x:v>
      </x:c>
      <x:c r="B97" s="14" t="n">
        <x:v>3</x:v>
      </x:c>
      <x:c r="C97" s="14" t="n">
        <x:v>5626</x:v>
      </x:c>
      <x:c r="D97" s="14" t="n">
        <x:v>12220</x:v>
      </x:c>
      <x:c r="E97" s="14" t="n">
        <x:v>11323</x:v>
      </x:c>
      <x:c r="F97" s="14" t="n">
        <x:v>206</x:v>
      </x:c>
      <x:c r="G97" s="14" t="n">
        <x:v>5038</x:v>
      </x:c>
      <x:c r="H97" s="14" t="n">
        <x:v>244</x:v>
      </x:c>
    </x:row>
    <x:row r="98">
      <x:c r="A98" s="14" t="n">
        <x:v>1</x:v>
      </x:c>
      <x:c r="B98" s="14" t="n">
        <x:v>3</x:v>
      </x:c>
      <x:c r="C98" s="14" t="n">
        <x:v>3</x:v>
      </x:c>
      <x:c r="D98" s="14" t="n">
        <x:v>2920</x:v>
      </x:c>
      <x:c r="E98" s="14" t="n">
        <x:v>6252</x:v>
      </x:c>
      <x:c r="F98" s="14" t="n">
        <x:v>440</x:v>
      </x:c>
      <x:c r="G98" s="14" t="n">
        <x:v>223</x:v>
      </x:c>
      <x:c r="H98" s="14" t="n">
        <x:v>709</x:v>
      </x:c>
    </x:row>
    <x:row r="99">
      <x:c r="A99" s="14" t="n">
        <x:v>2</x:v>
      </x:c>
      <x:c r="B99" s="14" t="n">
        <x:v>3</x:v>
      </x:c>
      <x:c r="C99" s="14" t="n">
        <x:v>23</x:v>
      </x:c>
      <x:c r="D99" s="14" t="n">
        <x:v>2616</x:v>
      </x:c>
      <x:c r="E99" s="14" t="n">
        <x:v>8118</x:v>
      </x:c>
      <x:c r="F99" s="14" t="n">
        <x:v>145</x:v>
      </x:c>
      <x:c r="G99" s="14" t="n">
        <x:v>3874</x:v>
      </x:c>
      <x:c r="H99" s="14" t="n">
        <x:v>217</x:v>
      </x:c>
    </x:row>
    <x:row r="100">
      <x:c r="A100" s="14" t="n">
        <x:v>1</x:v>
      </x:c>
      <x:c r="B100" s="14" t="n">
        <x:v>3</x:v>
      </x:c>
      <x:c r="C100" s="14" t="n">
        <x:v>403</x:v>
      </x:c>
      <x:c r="D100" s="14" t="n">
        <x:v>254</x:v>
      </x:c>
      <x:c r="E100" s="14" t="n">
        <x:v>610</x:v>
      </x:c>
      <x:c r="F100" s="14" t="n">
        <x:v>774</x:v>
      </x:c>
      <x:c r="G100" s="14" t="n">
        <x:v>54</x:v>
      </x:c>
      <x:c r="H100" s="14" t="n">
        <x:v>63</x:v>
      </x:c>
    </x:row>
    <x:row r="101">
      <x:c r="A101" s="14" t="n">
        <x:v>1</x:v>
      </x:c>
      <x:c r="B101" s="14" t="n">
        <x:v>3</x:v>
      </x:c>
      <x:c r="C101" s="14" t="n">
        <x:v>503</x:v>
      </x:c>
      <x:c r="D101" s="14" t="n">
        <x:v>112</x:v>
      </x:c>
      <x:c r="E101" s="14" t="n">
        <x:v>778</x:v>
      </x:c>
      <x:c r="F101" s="14" t="n">
        <x:v>895</x:v>
      </x:c>
      <x:c r="G101" s="14" t="n">
        <x:v>56</x:v>
      </x:c>
      <x:c r="H101" s="14" t="n">
        <x:v>132</x:v>
      </x:c>
    </x:row>
    <x:row r="102">
      <x:c r="A102" s="14" t="n">
        <x:v>1</x:v>
      </x:c>
      <x:c r="B102" s="14" t="n">
        <x:v>3</x:v>
      </x:c>
      <x:c r="C102" s="14" t="n">
        <x:v>9658</x:v>
      </x:c>
      <x:c r="D102" s="14" t="n">
        <x:v>2182</x:v>
      </x:c>
      <x:c r="E102" s="14" t="n">
        <x:v>1909</x:v>
      </x:c>
      <x:c r="F102" s="14" t="n">
        <x:v>5639</x:v>
      </x:c>
      <x:c r="G102" s="14" t="n">
        <x:v>215</x:v>
      </x:c>
      <x:c r="H102" s="14" t="n">
        <x:v>323</x:v>
      </x:c>
    </x:row>
    <x:row r="103">
      <x:c r="A103" s="14" t="n">
        <x:v>2</x:v>
      </x:c>
      <x:c r="B103" s="14" t="n">
        <x:v>3</x:v>
      </x:c>
      <x:c r="C103" s="14" t="n">
        <x:v>11594</x:v>
      </x:c>
      <x:c r="D103" s="14" t="n">
        <x:v>7779</x:v>
      </x:c>
      <x:c r="E103" s="14" t="n">
        <x:v>12144</x:v>
      </x:c>
      <x:c r="F103" s="14" t="n">
        <x:v>3252</x:v>
      </x:c>
      <x:c r="G103" s="14" t="n">
        <x:v>8035</x:v>
      </x:c>
      <x:c r="H103" s="14" t="n">
        <x:v>3029</x:v>
      </x:c>
    </x:row>
    <x:row r="104">
      <x:c r="A104" s="14" t="n">
        <x:v>2</x:v>
      </x:c>
      <x:c r="B104" s="14" t="n">
        <x:v>3</x:v>
      </x:c>
      <x:c r="C104" s="14" t="n">
        <x:v>1420</x:v>
      </x:c>
      <x:c r="D104" s="14" t="n">
        <x:v>10810</x:v>
      </x:c>
      <x:c r="E104" s="14" t="n">
        <x:v>16267</x:v>
      </x:c>
      <x:c r="F104" s="14" t="n">
        <x:v>1593</x:v>
      </x:c>
      <x:c r="G104" s="14" t="n">
        <x:v>6766</x:v>
      </x:c>
      <x:c r="H104" s="14" t="n">
        <x:v>1838</x:v>
      </x:c>
    </x:row>
    <x:row r="105">
      <x:c r="A105" s="14" t="n">
        <x:v>2</x:v>
      </x:c>
      <x:c r="B105" s="14" t="n">
        <x:v>3</x:v>
      </x:c>
      <x:c r="C105" s="14" t="n">
        <x:v>2932</x:v>
      </x:c>
      <x:c r="D105" s="14" t="n">
        <x:v>6459</x:v>
      </x:c>
      <x:c r="E105" s="14" t="n">
        <x:v>7677</x:v>
      </x:c>
      <x:c r="F105" s="14" t="n">
        <x:v>2561</x:v>
      </x:c>
      <x:c r="G105" s="14" t="n">
        <x:v>4573</x:v>
      </x:c>
      <x:c r="H105" s="14" t="n">
        <x:v>1386</x:v>
      </x:c>
    </x:row>
    <x:row r="106">
      <x:c r="A106" s="14" t="n">
        <x:v>1</x:v>
      </x:c>
      <x:c r="B106" s="14" t="n">
        <x:v>3</x:v>
      </x:c>
      <x:c r="C106" s="14" t="n">
        <x:v>56082</x:v>
      </x:c>
      <x:c r="D106" s="14" t="n">
        <x:v>3504</x:v>
      </x:c>
      <x:c r="E106" s="14" t="n">
        <x:v>8906</x:v>
      </x:c>
      <x:c r="F106" s="14" t="n">
        <x:v>18028</x:v>
      </x:c>
      <x:c r="G106" s="14" t="n">
        <x:v>1480</x:v>
      </x:c>
      <x:c r="H106" s="14" t="n">
        <x:v>2498</x:v>
      </x:c>
    </x:row>
    <x:row r="107">
      <x:c r="A107" s="14" t="n">
        <x:v>1</x:v>
      </x:c>
      <x:c r="B107" s="14" t="n">
        <x:v>3</x:v>
      </x:c>
      <x:c r="C107" s="14" t="n">
        <x:v>14100</x:v>
      </x:c>
      <x:c r="D107" s="14" t="n">
        <x:v>2132</x:v>
      </x:c>
      <x:c r="E107" s="14" t="n">
        <x:v>3445</x:v>
      </x:c>
      <x:c r="F107" s="14" t="n">
        <x:v>1336</x:v>
      </x:c>
      <x:c r="G107" s="14" t="n">
        <x:v>1491</x:v>
      </x:c>
      <x:c r="H107" s="14" t="n">
        <x:v>548</x:v>
      </x:c>
    </x:row>
    <x:row r="108">
      <x:c r="A108" s="14" t="n">
        <x:v>1</x:v>
      </x:c>
      <x:c r="B108" s="14" t="n">
        <x:v>3</x:v>
      </x:c>
      <x:c r="C108" s="14" t="n">
        <x:v>15587</x:v>
      </x:c>
      <x:c r="D108" s="14" t="n">
        <x:v>1014</x:v>
      </x:c>
      <x:c r="E108" s="14" t="n">
        <x:v>3970</x:v>
      </x:c>
      <x:c r="F108" s="14" t="n">
        <x:v>910</x:v>
      </x:c>
      <x:c r="G108" s="14" t="n">
        <x:v>139</x:v>
      </x:c>
      <x:c r="H108" s="14" t="n">
        <x:v>1378</x:v>
      </x:c>
    </x:row>
    <x:row r="109">
      <x:c r="A109" s="14" t="n">
        <x:v>2</x:v>
      </x:c>
      <x:c r="B109" s="14" t="n">
        <x:v>3</x:v>
      </x:c>
      <x:c r="C109" s="14" t="n">
        <x:v>1454</x:v>
      </x:c>
      <x:c r="D109" s="14" t="n">
        <x:v>6337</x:v>
      </x:c>
      <x:c r="E109" s="14" t="n">
        <x:v>10704</x:v>
      </x:c>
      <x:c r="F109" s="14" t="n">
        <x:v>133</x:v>
      </x:c>
      <x:c r="G109" s="14" t="n">
        <x:v>6830</x:v>
      </x:c>
      <x:c r="H109" s="14" t="n">
        <x:v>1831</x:v>
      </x:c>
    </x:row>
    <x:row r="110">
      <x:c r="A110" s="14" t="n">
        <x:v>2</x:v>
      </x:c>
      <x:c r="B110" s="14" t="n">
        <x:v>3</x:v>
      </x:c>
      <x:c r="C110" s="14" t="n">
        <x:v>8797</x:v>
      </x:c>
      <x:c r="D110" s="14" t="n">
        <x:v>10646</x:v>
      </x:c>
      <x:c r="E110" s="14" t="n">
        <x:v>14886</x:v>
      </x:c>
      <x:c r="F110" s="14" t="n">
        <x:v>2471</x:v>
      </x:c>
      <x:c r="G110" s="14" t="n">
        <x:v>8969</x:v>
      </x:c>
      <x:c r="H110" s="14" t="n">
        <x:v>1438</x:v>
      </x:c>
    </x:row>
    <x:row r="111">
      <x:c r="A111" s="14" t="n">
        <x:v>2</x:v>
      </x:c>
      <x:c r="B111" s="14" t="n">
        <x:v>3</x:v>
      </x:c>
      <x:c r="C111" s="14" t="n">
        <x:v>1531</x:v>
      </x:c>
      <x:c r="D111" s="14" t="n">
        <x:v>8397</x:v>
      </x:c>
      <x:c r="E111" s="14" t="n">
        <x:v>6981</x:v>
      </x:c>
      <x:c r="F111" s="14" t="n">
        <x:v>247</x:v>
      </x:c>
      <x:c r="G111" s="14" t="n">
        <x:v>2505</x:v>
      </x:c>
      <x:c r="H111" s="14" t="n">
        <x:v>1236</x:v>
      </x:c>
    </x:row>
    <x:row r="112">
      <x:c r="A112" s="14" t="n">
        <x:v>2</x:v>
      </x:c>
      <x:c r="B112" s="14" t="n">
        <x:v>3</x:v>
      </x:c>
      <x:c r="C112" s="14" t="n">
        <x:v>1406</x:v>
      </x:c>
      <x:c r="D112" s="14" t="n">
        <x:v>16729</x:v>
      </x:c>
      <x:c r="E112" s="14" t="n">
        <x:v>28986</x:v>
      </x:c>
      <x:c r="F112" s="14" t="n">
        <x:v>673</x:v>
      </x:c>
      <x:c r="G112" s="14" t="n">
        <x:v>836</x:v>
      </x:c>
      <x:c r="H112" s="14" t="n">
        <x:v>3</x:v>
      </x:c>
    </x:row>
    <x:row r="113">
      <x:c r="A113" s="14" t="n">
        <x:v>1</x:v>
      </x:c>
      <x:c r="B113" s="14" t="n">
        <x:v>3</x:v>
      </x:c>
      <x:c r="C113" s="14" t="n">
        <x:v>11818</x:v>
      </x:c>
      <x:c r="D113" s="14" t="n">
        <x:v>1648</x:v>
      </x:c>
      <x:c r="E113" s="14" t="n">
        <x:v>1694</x:v>
      </x:c>
      <x:c r="F113" s="14" t="n">
        <x:v>2276</x:v>
      </x:c>
      <x:c r="G113" s="14" t="n">
        <x:v>169</x:v>
      </x:c>
      <x:c r="H113" s="14" t="n">
        <x:v>1647</x:v>
      </x:c>
    </x:row>
    <x:row r="114">
      <x:c r="A114" s="14" t="n">
        <x:v>2</x:v>
      </x:c>
      <x:c r="B114" s="14" t="n">
        <x:v>3</x:v>
      </x:c>
      <x:c r="C114" s="14" t="n">
        <x:v>12579</x:v>
      </x:c>
      <x:c r="D114" s="14" t="n">
        <x:v>11114</x:v>
      </x:c>
      <x:c r="E114" s="14" t="n">
        <x:v>17569</x:v>
      </x:c>
      <x:c r="F114" s="14" t="n">
        <x:v>805</x:v>
      </x:c>
      <x:c r="G114" s="14" t="n">
        <x:v>6457</x:v>
      </x:c>
      <x:c r="H114" s="14" t="n">
        <x:v>1519</x:v>
      </x:c>
    </x:row>
    <x:row r="115">
      <x:c r="A115" s="14" t="n">
        <x:v>1</x:v>
      </x:c>
      <x:c r="B115" s="14" t="n">
        <x:v>3</x:v>
      </x:c>
      <x:c r="C115" s="14" t="n">
        <x:v>19046</x:v>
      </x:c>
      <x:c r="D115" s="14" t="n">
        <x:v>2770</x:v>
      </x:c>
      <x:c r="E115" s="14" t="n">
        <x:v>2469</x:v>
      </x:c>
      <x:c r="F115" s="14" t="n">
        <x:v>8853</x:v>
      </x:c>
      <x:c r="G115" s="14" t="n">
        <x:v>483</x:v>
      </x:c>
      <x:c r="H115" s="14" t="n">
        <x:v>2708</x:v>
      </x:c>
    </x:row>
    <x:row r="116">
      <x:c r="A116" s="14" t="n">
        <x:v>1</x:v>
      </x:c>
      <x:c r="B116" s="14" t="n">
        <x:v>3</x:v>
      </x:c>
      <x:c r="C116" s="14" t="n">
        <x:v>14438</x:v>
      </x:c>
      <x:c r="D116" s="14" t="n">
        <x:v>2295</x:v>
      </x:c>
      <x:c r="E116" s="14" t="n">
        <x:v>1733</x:v>
      </x:c>
      <x:c r="F116" s="14" t="n">
        <x:v>3220</x:v>
      </x:c>
      <x:c r="G116" s="14" t="n">
        <x:v>585</x:v>
      </x:c>
      <x:c r="H116" s="14" t="n">
        <x:v>1561</x:v>
      </x:c>
    </x:row>
    <x:row r="117">
      <x:c r="A117" s="14" t="n">
        <x:v>1</x:v>
      </x:c>
      <x:c r="B117" s="14" t="n">
        <x:v>3</x:v>
      </x:c>
      <x:c r="C117" s="14" t="n">
        <x:v>18044</x:v>
      </x:c>
      <x:c r="D117" s="14" t="n">
        <x:v>1080</x:v>
      </x:c>
      <x:c r="E117" s="14" t="n">
        <x:v>2000</x:v>
      </x:c>
      <x:c r="F117" s="14" t="n">
        <x:v>2555</x:v>
      </x:c>
      <x:c r="G117" s="14" t="n">
        <x:v>118</x:v>
      </x:c>
      <x:c r="H117" s="14" t="n">
        <x:v>1266</x:v>
      </x:c>
    </x:row>
    <x:row r="118">
      <x:c r="A118" s="14" t="n">
        <x:v>1</x:v>
      </x:c>
      <x:c r="B118" s="14" t="n">
        <x:v>3</x:v>
      </x:c>
      <x:c r="C118" s="14" t="n">
        <x:v>11134</x:v>
      </x:c>
      <x:c r="D118" s="14" t="n">
        <x:v>793</x:v>
      </x:c>
      <x:c r="E118" s="14" t="n">
        <x:v>2988</x:v>
      </x:c>
      <x:c r="F118" s="14" t="n">
        <x:v>2715</x:v>
      </x:c>
      <x:c r="G118" s="14" t="n">
        <x:v>276</x:v>
      </x:c>
      <x:c r="H118" s="14" t="n">
        <x:v>610</x:v>
      </x:c>
    </x:row>
    <x:row r="119">
      <x:c r="A119" s="14" t="n">
        <x:v>1</x:v>
      </x:c>
      <x:c r="B119" s="14" t="n">
        <x:v>3</x:v>
      </x:c>
      <x:c r="C119" s="14" t="n">
        <x:v>11173</x:v>
      </x:c>
      <x:c r="D119" s="14" t="n">
        <x:v>2521</x:v>
      </x:c>
      <x:c r="E119" s="14" t="n">
        <x:v>3355</x:v>
      </x:c>
      <x:c r="F119" s="14" t="n">
        <x:v>1517</x:v>
      </x:c>
      <x:c r="G119" s="14" t="n">
        <x:v>310</x:v>
      </x:c>
      <x:c r="H119" s="14" t="n">
        <x:v>222</x:v>
      </x:c>
    </x:row>
    <x:row r="120">
      <x:c r="A120" s="14" t="n">
        <x:v>1</x:v>
      </x:c>
      <x:c r="B120" s="14" t="n">
        <x:v>3</x:v>
      </x:c>
      <x:c r="C120" s="14" t="n">
        <x:v>6990</x:v>
      </x:c>
      <x:c r="D120" s="14" t="n">
        <x:v>3880</x:v>
      </x:c>
      <x:c r="E120" s="14" t="n">
        <x:v>5380</x:v>
      </x:c>
      <x:c r="F120" s="14" t="n">
        <x:v>1647</x:v>
      </x:c>
      <x:c r="G120" s="14" t="n">
        <x:v>319</x:v>
      </x:c>
      <x:c r="H120" s="14" t="n">
        <x:v>1160</x:v>
      </x:c>
    </x:row>
    <x:row r="121">
      <x:c r="A121" s="14" t="n">
        <x:v>1</x:v>
      </x:c>
      <x:c r="B121" s="14" t="n">
        <x:v>3</x:v>
      </x:c>
      <x:c r="C121" s="14" t="n">
        <x:v>20049</x:v>
      </x:c>
      <x:c r="D121" s="14" t="n">
        <x:v>1891</x:v>
      </x:c>
      <x:c r="E121" s="14" t="n">
        <x:v>2362</x:v>
      </x:c>
      <x:c r="F121" s="14" t="n">
        <x:v>5343</x:v>
      </x:c>
      <x:c r="G121" s="14" t="n">
        <x:v>411</x:v>
      </x:c>
      <x:c r="H121" s="14" t="n">
        <x:v>933</x:v>
      </x:c>
    </x:row>
    <x:row r="122">
      <x:c r="A122" s="14" t="n">
        <x:v>1</x:v>
      </x:c>
      <x:c r="B122" s="14" t="n">
        <x:v>3</x:v>
      </x:c>
      <x:c r="C122" s="14" t="n">
        <x:v>8258</x:v>
      </x:c>
      <x:c r="D122" s="14" t="n">
        <x:v>2344</x:v>
      </x:c>
      <x:c r="E122" s="14" t="n">
        <x:v>2147</x:v>
      </x:c>
      <x:c r="F122" s="14" t="n">
        <x:v>3896</x:v>
      </x:c>
      <x:c r="G122" s="14" t="n">
        <x:v>266</x:v>
      </x:c>
      <x:c r="H122" s="14" t="n">
        <x:v>635</x:v>
      </x:c>
    </x:row>
    <x:row r="123">
      <x:c r="A123" s="14" t="n">
        <x:v>1</x:v>
      </x:c>
      <x:c r="B123" s="14" t="n">
        <x:v>3</x:v>
      </x:c>
      <x:c r="C123" s="14" t="n">
        <x:v>17160</x:v>
      </x:c>
      <x:c r="D123" s="14" t="n">
        <x:v>1200</x:v>
      </x:c>
      <x:c r="E123" s="14" t="n">
        <x:v>3412</x:v>
      </x:c>
      <x:c r="F123" s="14" t="n">
        <x:v>2417</x:v>
      </x:c>
      <x:c r="G123" s="14" t="n">
        <x:v>174</x:v>
      </x:c>
      <x:c r="H123" s="14" t="n">
        <x:v>1136</x:v>
      </x:c>
    </x:row>
    <x:row r="124">
      <x:c r="A124" s="14" t="n">
        <x:v>1</x:v>
      </x:c>
      <x:c r="B124" s="14" t="n">
        <x:v>3</x:v>
      </x:c>
      <x:c r="C124" s="14" t="n">
        <x:v>4020</x:v>
      </x:c>
      <x:c r="D124" s="14" t="n">
        <x:v>3234</x:v>
      </x:c>
      <x:c r="E124" s="14" t="n">
        <x:v>1498</x:v>
      </x:c>
      <x:c r="F124" s="14" t="n">
        <x:v>2395</x:v>
      </x:c>
      <x:c r="G124" s="14" t="n">
        <x:v>264</x:v>
      </x:c>
      <x:c r="H124" s="14" t="n">
        <x:v>255</x:v>
      </x:c>
    </x:row>
    <x:row r="125">
      <x:c r="A125" s="14" t="n">
        <x:v>1</x:v>
      </x:c>
      <x:c r="B125" s="14" t="n">
        <x:v>3</x:v>
      </x:c>
      <x:c r="C125" s="14" t="n">
        <x:v>12212</x:v>
      </x:c>
      <x:c r="D125" s="14" t="n">
        <x:v>201</x:v>
      </x:c>
      <x:c r="E125" s="14" t="n">
        <x:v>245</x:v>
      </x:c>
      <x:c r="F125" s="14" t="n">
        <x:v>1991</x:v>
      </x:c>
      <x:c r="G125" s="14" t="n">
        <x:v>25</x:v>
      </x:c>
      <x:c r="H125" s="14" t="n">
        <x:v>860</x:v>
      </x:c>
    </x:row>
    <x:row r="126">
      <x:c r="A126" s="14" t="n">
        <x:v>2</x:v>
      </x:c>
      <x:c r="B126" s="14" t="n">
        <x:v>3</x:v>
      </x:c>
      <x:c r="C126" s="14" t="n">
        <x:v>11170</x:v>
      </x:c>
      <x:c r="D126" s="14" t="n">
        <x:v>10769</x:v>
      </x:c>
      <x:c r="E126" s="14" t="n">
        <x:v>8814</x:v>
      </x:c>
      <x:c r="F126" s="14" t="n">
        <x:v>2194</x:v>
      </x:c>
      <x:c r="G126" s="14" t="n">
        <x:v>1976</x:v>
      </x:c>
      <x:c r="H126" s="14" t="n">
        <x:v>143</x:v>
      </x:c>
    </x:row>
    <x:row r="127">
      <x:c r="A127" s="14" t="n">
        <x:v>1</x:v>
      </x:c>
      <x:c r="B127" s="14" t="n">
        <x:v>3</x:v>
      </x:c>
      <x:c r="C127" s="14" t="n">
        <x:v>36050</x:v>
      </x:c>
      <x:c r="D127" s="14" t="n">
        <x:v>1642</x:v>
      </x:c>
      <x:c r="E127" s="14" t="n">
        <x:v>2961</x:v>
      </x:c>
      <x:c r="F127" s="14" t="n">
        <x:v>4787</x:v>
      </x:c>
      <x:c r="G127" s="14" t="n">
        <x:v>500</x:v>
      </x:c>
      <x:c r="H127" s="14" t="n">
        <x:v>1621</x:v>
      </x:c>
    </x:row>
    <x:row r="128">
      <x:c r="A128" s="14" t="n">
        <x:v>1</x:v>
      </x:c>
      <x:c r="B128" s="14" t="n">
        <x:v>3</x:v>
      </x:c>
      <x:c r="C128" s="14" t="n">
        <x:v>76237</x:v>
      </x:c>
      <x:c r="D128" s="14" t="n">
        <x:v>3473</x:v>
      </x:c>
      <x:c r="E128" s="14" t="n">
        <x:v>7102</x:v>
      </x:c>
      <x:c r="F128" s="14" t="n">
        <x:v>16538</x:v>
      </x:c>
      <x:c r="G128" s="14" t="n">
        <x:v>778</x:v>
      </x:c>
      <x:c r="H128" s="14" t="n">
        <x:v>918</x:v>
      </x:c>
    </x:row>
    <x:row r="129">
      <x:c r="A129" s="14" t="n">
        <x:v>1</x:v>
      </x:c>
      <x:c r="B129" s="14" t="n">
        <x:v>3</x:v>
      </x:c>
      <x:c r="C129" s="14" t="n">
        <x:v>19219</x:v>
      </x:c>
      <x:c r="D129" s="14" t="n">
        <x:v>1840</x:v>
      </x:c>
      <x:c r="E129" s="14" t="n">
        <x:v>1658</x:v>
      </x:c>
      <x:c r="F129" s="14" t="n">
        <x:v>8195</x:v>
      </x:c>
      <x:c r="G129" s="14" t="n">
        <x:v>349</x:v>
      </x:c>
      <x:c r="H129" s="14" t="n">
        <x:v>483</x:v>
      </x:c>
    </x:row>
    <x:row r="130">
      <x:c r="A130" s="14" t="n">
        <x:v>2</x:v>
      </x:c>
      <x:c r="B130" s="14" t="n">
        <x:v>3</x:v>
      </x:c>
      <x:c r="C130" s="14" t="n">
        <x:v>21465</x:v>
      </x:c>
      <x:c r="D130" s="14" t="n">
        <x:v>7243</x:v>
      </x:c>
      <x:c r="E130" s="14" t="n">
        <x:v>10685</x:v>
      </x:c>
      <x:c r="F130" s="14" t="n">
        <x:v>880</x:v>
      </x:c>
      <x:c r="G130" s="14" t="n">
        <x:v>2386</x:v>
      </x:c>
      <x:c r="H130" s="14" t="n">
        <x:v>2749</x:v>
      </x:c>
    </x:row>
    <x:row r="131">
      <x:c r="A131" s="14" t="n">
        <x:v>1</x:v>
      </x:c>
      <x:c r="B131" s="14" t="n">
        <x:v>3</x:v>
      </x:c>
      <x:c r="C131" s="14" t="n">
        <x:v>140</x:v>
      </x:c>
      <x:c r="D131" s="14" t="n">
        <x:v>8847</x:v>
      </x:c>
      <x:c r="E131" s="14" t="n">
        <x:v>3823</x:v>
      </x:c>
      <x:c r="F131" s="14" t="n">
        <x:v>142</x:v>
      </x:c>
      <x:c r="G131" s="14" t="n">
        <x:v>1062</x:v>
      </x:c>
      <x:c r="H131" s="14" t="n">
        <x:v>3</x:v>
      </x:c>
    </x:row>
    <x:row r="132">
      <x:c r="A132" s="14" t="n">
        <x:v>1</x:v>
      </x:c>
      <x:c r="B132" s="14" t="n">
        <x:v>3</x:v>
      </x:c>
      <x:c r="C132" s="14" t="n">
        <x:v>42312</x:v>
      </x:c>
      <x:c r="D132" s="14" t="n">
        <x:v>926</x:v>
      </x:c>
      <x:c r="E132" s="14" t="n">
        <x:v>1510</x:v>
      </x:c>
      <x:c r="F132" s="14" t="n">
        <x:v>1718</x:v>
      </x:c>
      <x:c r="G132" s="14" t="n">
        <x:v>410</x:v>
      </x:c>
      <x:c r="H132" s="14" t="n">
        <x:v>1819</x:v>
      </x:c>
    </x:row>
    <x:row r="133">
      <x:c r="A133" s="14" t="n">
        <x:v>1</x:v>
      </x:c>
      <x:c r="B133" s="14" t="n">
        <x:v>3</x:v>
      </x:c>
      <x:c r="C133" s="14" t="n">
        <x:v>7149</x:v>
      </x:c>
      <x:c r="D133" s="14" t="n">
        <x:v>2428</x:v>
      </x:c>
      <x:c r="E133" s="14" t="n">
        <x:v>699</x:v>
      </x:c>
      <x:c r="F133" s="14" t="n">
        <x:v>6316</x:v>
      </x:c>
      <x:c r="G133" s="14" t="n">
        <x:v>395</x:v>
      </x:c>
      <x:c r="H133" s="14" t="n">
        <x:v>911</x:v>
      </x:c>
    </x:row>
    <x:row r="134">
      <x:c r="A134" s="14" t="n">
        <x:v>1</x:v>
      </x:c>
      <x:c r="B134" s="14" t="n">
        <x:v>3</x:v>
      </x:c>
      <x:c r="C134" s="14" t="n">
        <x:v>2101</x:v>
      </x:c>
      <x:c r="D134" s="14" t="n">
        <x:v>589</x:v>
      </x:c>
      <x:c r="E134" s="14" t="n">
        <x:v>314</x:v>
      </x:c>
      <x:c r="F134" s="14" t="n">
        <x:v>346</x:v>
      </x:c>
      <x:c r="G134" s="14" t="n">
        <x:v>70</x:v>
      </x:c>
      <x:c r="H134" s="14" t="n">
        <x:v>310</x:v>
      </x:c>
    </x:row>
    <x:row r="135">
      <x:c r="A135" s="14" t="n">
        <x:v>1</x:v>
      </x:c>
      <x:c r="B135" s="14" t="n">
        <x:v>3</x:v>
      </x:c>
      <x:c r="C135" s="14" t="n">
        <x:v>14903</x:v>
      </x:c>
      <x:c r="D135" s="14" t="n">
        <x:v>2032</x:v>
      </x:c>
      <x:c r="E135" s="14" t="n">
        <x:v>2479</x:v>
      </x:c>
      <x:c r="F135" s="14" t="n">
        <x:v>576</x:v>
      </x:c>
      <x:c r="G135" s="14" t="n">
        <x:v>955</x:v>
      </x:c>
      <x:c r="H135" s="14" t="n">
        <x:v>328</x:v>
      </x:c>
    </x:row>
    <x:row r="136">
      <x:c r="A136" s="14" t="n">
        <x:v>1</x:v>
      </x:c>
      <x:c r="B136" s="14" t="n">
        <x:v>3</x:v>
      </x:c>
      <x:c r="C136" s="14" t="n">
        <x:v>9434</x:v>
      </x:c>
      <x:c r="D136" s="14" t="n">
        <x:v>1042</x:v>
      </x:c>
      <x:c r="E136" s="14" t="n">
        <x:v>1235</x:v>
      </x:c>
      <x:c r="F136" s="14" t="n">
        <x:v>436</x:v>
      </x:c>
      <x:c r="G136" s="14" t="n">
        <x:v>256</x:v>
      </x:c>
      <x:c r="H136" s="14" t="n">
        <x:v>396</x:v>
      </x:c>
    </x:row>
    <x:row r="137">
      <x:c r="A137" s="14" t="n">
        <x:v>1</x:v>
      </x:c>
      <x:c r="B137" s="14" t="n">
        <x:v>3</x:v>
      </x:c>
      <x:c r="C137" s="14" t="n">
        <x:v>7388</x:v>
      </x:c>
      <x:c r="D137" s="14" t="n">
        <x:v>1882</x:v>
      </x:c>
      <x:c r="E137" s="14" t="n">
        <x:v>2174</x:v>
      </x:c>
      <x:c r="F137" s="14" t="n">
        <x:v>720</x:v>
      </x:c>
      <x:c r="G137" s="14" t="n">
        <x:v>47</x:v>
      </x:c>
      <x:c r="H137" s="14" t="n">
        <x:v>537</x:v>
      </x:c>
    </x:row>
    <x:row r="138">
      <x:c r="A138" s="14" t="n">
        <x:v>1</x:v>
      </x:c>
      <x:c r="B138" s="14" t="n">
        <x:v>3</x:v>
      </x:c>
      <x:c r="C138" s="14" t="n">
        <x:v>6300</x:v>
      </x:c>
      <x:c r="D138" s="14" t="n">
        <x:v>1289</x:v>
      </x:c>
      <x:c r="E138" s="14" t="n">
        <x:v>2591</x:v>
      </x:c>
      <x:c r="F138" s="14" t="n">
        <x:v>1170</x:v>
      </x:c>
      <x:c r="G138" s="14" t="n">
        <x:v>199</x:v>
      </x:c>
      <x:c r="H138" s="14" t="n">
        <x:v>326</x:v>
      </x:c>
    </x:row>
    <x:row r="139">
      <x:c r="A139" s="14" t="n">
        <x:v>1</x:v>
      </x:c>
      <x:c r="B139" s="14" t="n">
        <x:v>3</x:v>
      </x:c>
      <x:c r="C139" s="14" t="n">
        <x:v>4625</x:v>
      </x:c>
      <x:c r="D139" s="14" t="n">
        <x:v>8579</x:v>
      </x:c>
      <x:c r="E139" s="14" t="n">
        <x:v>7030</x:v>
      </x:c>
      <x:c r="F139" s="14" t="n">
        <x:v>4575</x:v>
      </x:c>
      <x:c r="G139" s="14" t="n">
        <x:v>2447</x:v>
      </x:c>
      <x:c r="H139" s="14" t="n">
        <x:v>1542</x:v>
      </x:c>
    </x:row>
    <x:row r="140">
      <x:c r="A140" s="14" t="n">
        <x:v>1</x:v>
      </x:c>
      <x:c r="B140" s="14" t="n">
        <x:v>3</x:v>
      </x:c>
      <x:c r="C140" s="14" t="n">
        <x:v>3087</x:v>
      </x:c>
      <x:c r="D140" s="14" t="n">
        <x:v>8080</x:v>
      </x:c>
      <x:c r="E140" s="14" t="n">
        <x:v>8282</x:v>
      </x:c>
      <x:c r="F140" s="14" t="n">
        <x:v>661</x:v>
      </x:c>
      <x:c r="G140" s="14" t="n">
        <x:v>721</x:v>
      </x:c>
      <x:c r="H140" s="14" t="n">
        <x:v>36</x:v>
      </x:c>
    </x:row>
    <x:row r="141">
      <x:c r="A141" s="14" t="n">
        <x:v>1</x:v>
      </x:c>
      <x:c r="B141" s="14" t="n">
        <x:v>3</x:v>
      </x:c>
      <x:c r="C141" s="14" t="n">
        <x:v>13537</x:v>
      </x:c>
      <x:c r="D141" s="14" t="n">
        <x:v>4257</x:v>
      </x:c>
      <x:c r="E141" s="14" t="n">
        <x:v>5034</x:v>
      </x:c>
      <x:c r="F141" s="14" t="n">
        <x:v>155</x:v>
      </x:c>
      <x:c r="G141" s="14" t="n">
        <x:v>249</x:v>
      </x:c>
      <x:c r="H141" s="14" t="n">
        <x:v>3271</x:v>
      </x:c>
    </x:row>
    <x:row r="142">
      <x:c r="A142" s="14" t="n">
        <x:v>1</x:v>
      </x:c>
      <x:c r="B142" s="14" t="n">
        <x:v>3</x:v>
      </x:c>
      <x:c r="C142" s="14" t="n">
        <x:v>5387</x:v>
      </x:c>
      <x:c r="D142" s="14" t="n">
        <x:v>4979</x:v>
      </x:c>
      <x:c r="E142" s="14" t="n">
        <x:v>3343</x:v>
      </x:c>
      <x:c r="F142" s="14" t="n">
        <x:v>825</x:v>
      </x:c>
      <x:c r="G142" s="14" t="n">
        <x:v>637</x:v>
      </x:c>
      <x:c r="H142" s="14" t="n">
        <x:v>929</x:v>
      </x:c>
    </x:row>
    <x:row r="143">
      <x:c r="A143" s="14" t="n">
        <x:v>1</x:v>
      </x:c>
      <x:c r="B143" s="14" t="n">
        <x:v>3</x:v>
      </x:c>
      <x:c r="C143" s="14" t="n">
        <x:v>17623</x:v>
      </x:c>
      <x:c r="D143" s="14" t="n">
        <x:v>4280</x:v>
      </x:c>
      <x:c r="E143" s="14" t="n">
        <x:v>7305</x:v>
      </x:c>
      <x:c r="F143" s="14" t="n">
        <x:v>2279</x:v>
      </x:c>
      <x:c r="G143" s="14" t="n">
        <x:v>960</x:v>
      </x:c>
      <x:c r="H143" s="14" t="n">
        <x:v>2616</x:v>
      </x:c>
    </x:row>
    <x:row r="144">
      <x:c r="A144" s="14" t="n">
        <x:v>1</x:v>
      </x:c>
      <x:c r="B144" s="14" t="n">
        <x:v>3</x:v>
      </x:c>
      <x:c r="C144" s="14" t="n">
        <x:v>30379</x:v>
      </x:c>
      <x:c r="D144" s="14" t="n">
        <x:v>13252</x:v>
      </x:c>
      <x:c r="E144" s="14" t="n">
        <x:v>5189</x:v>
      </x:c>
      <x:c r="F144" s="14" t="n">
        <x:v>321</x:v>
      </x:c>
      <x:c r="G144" s="14" t="n">
        <x:v>51</x:v>
      </x:c>
      <x:c r="H144" s="14" t="n">
        <x:v>1450</x:v>
      </x:c>
    </x:row>
    <x:row r="145">
      <x:c r="A145" s="14" t="n">
        <x:v>1</x:v>
      </x:c>
      <x:c r="B145" s="14" t="n">
        <x:v>3</x:v>
      </x:c>
      <x:c r="C145" s="14" t="n">
        <x:v>37036</x:v>
      </x:c>
      <x:c r="D145" s="14" t="n">
        <x:v>7152</x:v>
      </x:c>
      <x:c r="E145" s="14" t="n">
        <x:v>8253</x:v>
      </x:c>
      <x:c r="F145" s="14" t="n">
        <x:v>2995</x:v>
      </x:c>
      <x:c r="G145" s="14" t="n">
        <x:v>20</x:v>
      </x:c>
      <x:c r="H145" s="14" t="n">
        <x:v>3</x:v>
      </x:c>
    </x:row>
    <x:row r="146">
      <x:c r="A146" s="14" t="n">
        <x:v>1</x:v>
      </x:c>
      <x:c r="B146" s="14" t="n">
        <x:v>3</x:v>
      </x:c>
      <x:c r="C146" s="14" t="n">
        <x:v>10405</x:v>
      </x:c>
      <x:c r="D146" s="14" t="n">
        <x:v>1596</x:v>
      </x:c>
      <x:c r="E146" s="14" t="n">
        <x:v>1096</x:v>
      </x:c>
      <x:c r="F146" s="14" t="n">
        <x:v>8425</x:v>
      </x:c>
      <x:c r="G146" s="14" t="n">
        <x:v>399</x:v>
      </x:c>
      <x:c r="H146" s="14" t="n">
        <x:v>318</x:v>
      </x:c>
    </x:row>
    <x:row r="147">
      <x:c r="A147" s="14" t="n">
        <x:v>1</x:v>
      </x:c>
      <x:c r="B147" s="14" t="n">
        <x:v>3</x:v>
      </x:c>
      <x:c r="C147" s="14" t="n">
        <x:v>18827</x:v>
      </x:c>
      <x:c r="D147" s="14" t="n">
        <x:v>3677</x:v>
      </x:c>
      <x:c r="E147" s="14" t="n">
        <x:v>1988</x:v>
      </x:c>
      <x:c r="F147" s="14" t="n">
        <x:v>118</x:v>
      </x:c>
      <x:c r="G147" s="14" t="n">
        <x:v>516</x:v>
      </x:c>
      <x:c r="H147" s="14" t="n">
        <x:v>201</x:v>
      </x:c>
    </x:row>
    <x:row r="148">
      <x:c r="A148" s="14" t="n">
        <x:v>2</x:v>
      </x:c>
      <x:c r="B148" s="14" t="n">
        <x:v>3</x:v>
      </x:c>
      <x:c r="C148" s="14" t="n">
        <x:v>22039</x:v>
      </x:c>
      <x:c r="D148" s="14" t="n">
        <x:v>8384</x:v>
      </x:c>
      <x:c r="E148" s="14" t="n">
        <x:v>34792</x:v>
      </x:c>
      <x:c r="F148" s="14" t="n">
        <x:v>42</x:v>
      </x:c>
      <x:c r="G148" s="14" t="n">
        <x:v>12591</x:v>
      </x:c>
      <x:c r="H148" s="14" t="n">
        <x:v>4430</x:v>
      </x:c>
    </x:row>
    <x:row r="149">
      <x:c r="A149" s="14" t="n">
        <x:v>1</x:v>
      </x:c>
      <x:c r="B149" s="14" t="n">
        <x:v>3</x:v>
      </x:c>
      <x:c r="C149" s="14" t="n">
        <x:v>7769</x:v>
      </x:c>
      <x:c r="D149" s="14" t="n">
        <x:v>1936</x:v>
      </x:c>
      <x:c r="E149" s="14" t="n">
        <x:v>2177</x:v>
      </x:c>
      <x:c r="F149" s="14" t="n">
        <x:v>926</x:v>
      </x:c>
      <x:c r="G149" s="14" t="n">
        <x:v>73</x:v>
      </x:c>
      <x:c r="H149" s="14" t="n">
        <x:v>520</x:v>
      </x:c>
    </x:row>
    <x:row r="150">
      <x:c r="A150" s="14" t="n">
        <x:v>1</x:v>
      </x:c>
      <x:c r="B150" s="14" t="n">
        <x:v>3</x:v>
      </x:c>
      <x:c r="C150" s="14" t="n">
        <x:v>9203</x:v>
      </x:c>
      <x:c r="D150" s="14" t="n">
        <x:v>3373</x:v>
      </x:c>
      <x:c r="E150" s="14" t="n">
        <x:v>2707</x:v>
      </x:c>
      <x:c r="F150" s="14" t="n">
        <x:v>1286</x:v>
      </x:c>
      <x:c r="G150" s="14" t="n">
        <x:v>1082</x:v>
      </x:c>
      <x:c r="H150" s="14" t="n">
        <x:v>526</x:v>
      </x:c>
    </x:row>
    <x:row r="151">
      <x:c r="A151" s="14" t="n">
        <x:v>1</x:v>
      </x:c>
      <x:c r="B151" s="14" t="n">
        <x:v>3</x:v>
      </x:c>
      <x:c r="C151" s="14" t="n">
        <x:v>5924</x:v>
      </x:c>
      <x:c r="D151" s="14" t="n">
        <x:v>584</x:v>
      </x:c>
      <x:c r="E151" s="14" t="n">
        <x:v>542</x:v>
      </x:c>
      <x:c r="F151" s="14" t="n">
        <x:v>4052</x:v>
      </x:c>
      <x:c r="G151" s="14" t="n">
        <x:v>283</x:v>
      </x:c>
      <x:c r="H151" s="14" t="n">
        <x:v>434</x:v>
      </x:c>
    </x:row>
    <x:row r="152">
      <x:c r="A152" s="14" t="n">
        <x:v>1</x:v>
      </x:c>
      <x:c r="B152" s="14" t="n">
        <x:v>3</x:v>
      </x:c>
      <x:c r="C152" s="14" t="n">
        <x:v>31812</x:v>
      </x:c>
      <x:c r="D152" s="14" t="n">
        <x:v>1433</x:v>
      </x:c>
      <x:c r="E152" s="14" t="n">
        <x:v>1651</x:v>
      </x:c>
      <x:c r="F152" s="14" t="n">
        <x:v>800</x:v>
      </x:c>
      <x:c r="G152" s="14" t="n">
        <x:v>113</x:v>
      </x:c>
      <x:c r="H152" s="14" t="n">
        <x:v>1440</x:v>
      </x:c>
    </x:row>
    <x:row r="153">
      <x:c r="A153" s="14" t="n">
        <x:v>1</x:v>
      </x:c>
      <x:c r="B153" s="14" t="n">
        <x:v>3</x:v>
      </x:c>
      <x:c r="C153" s="14" t="n">
        <x:v>16225</x:v>
      </x:c>
      <x:c r="D153" s="14" t="n">
        <x:v>1825</x:v>
      </x:c>
      <x:c r="E153" s="14" t="n">
        <x:v>1765</x:v>
      </x:c>
      <x:c r="F153" s="14" t="n">
        <x:v>853</x:v>
      </x:c>
      <x:c r="G153" s="14" t="n">
        <x:v>170</x:v>
      </x:c>
      <x:c r="H153" s="14" t="n">
        <x:v>1067</x:v>
      </x:c>
    </x:row>
    <x:row r="154">
      <x:c r="A154" s="14" t="n">
        <x:v>1</x:v>
      </x:c>
      <x:c r="B154" s="14" t="n">
        <x:v>3</x:v>
      </x:c>
      <x:c r="C154" s="14" t="n">
        <x:v>1289</x:v>
      </x:c>
      <x:c r="D154" s="14" t="n">
        <x:v>3328</x:v>
      </x:c>
      <x:c r="E154" s="14" t="n">
        <x:v>2022</x:v>
      </x:c>
      <x:c r="F154" s="14" t="n">
        <x:v>531</x:v>
      </x:c>
      <x:c r="G154" s="14" t="n">
        <x:v>255</x:v>
      </x:c>
      <x:c r="H154" s="14" t="n">
        <x:v>1774</x:v>
      </x:c>
    </x:row>
    <x:row r="155">
      <x:c r="A155" s="14" t="n">
        <x:v>1</x:v>
      </x:c>
      <x:c r="B155" s="14" t="n">
        <x:v>3</x:v>
      </x:c>
      <x:c r="C155" s="14" t="n">
        <x:v>18840</x:v>
      </x:c>
      <x:c r="D155" s="14" t="n">
        <x:v>1371</x:v>
      </x:c>
      <x:c r="E155" s="14" t="n">
        <x:v>3135</x:v>
      </x:c>
      <x:c r="F155" s="14" t="n">
        <x:v>3001</x:v>
      </x:c>
      <x:c r="G155" s="14" t="n">
        <x:v>352</x:v>
      </x:c>
      <x:c r="H155" s="14" t="n">
        <x:v>184</x:v>
      </x:c>
    </x:row>
    <x:row r="156">
      <x:c r="A156" s="14" t="n">
        <x:v>1</x:v>
      </x:c>
      <x:c r="B156" s="14" t="n">
        <x:v>3</x:v>
      </x:c>
      <x:c r="C156" s="14" t="n">
        <x:v>3463</x:v>
      </x:c>
      <x:c r="D156" s="14" t="n">
        <x:v>9250</x:v>
      </x:c>
      <x:c r="E156" s="14" t="n">
        <x:v>2368</x:v>
      </x:c>
      <x:c r="F156" s="14" t="n">
        <x:v>779</x:v>
      </x:c>
      <x:c r="G156" s="14" t="n">
        <x:v>302</x:v>
      </x:c>
      <x:c r="H156" s="14" t="n">
        <x:v>1627</x:v>
      </x:c>
    </x:row>
    <x:row r="157">
      <x:c r="A157" s="14" t="n">
        <x:v>1</x:v>
      </x:c>
      <x:c r="B157" s="14" t="n">
        <x:v>3</x:v>
      </x:c>
      <x:c r="C157" s="14" t="n">
        <x:v>622</x:v>
      </x:c>
      <x:c r="D157" s="14" t="n">
        <x:v>55</x:v>
      </x:c>
      <x:c r="E157" s="14" t="n">
        <x:v>137</x:v>
      </x:c>
      <x:c r="F157" s="14" t="n">
        <x:v>75</x:v>
      </x:c>
      <x:c r="G157" s="14" t="n">
        <x:v>7</x:v>
      </x:c>
      <x:c r="H157" s="14" t="n">
        <x:v>8</x:v>
      </x:c>
    </x:row>
    <x:row r="158">
      <x:c r="A158" s="14" t="n">
        <x:v>2</x:v>
      </x:c>
      <x:c r="B158" s="14" t="n">
        <x:v>3</x:v>
      </x:c>
      <x:c r="C158" s="14" t="n">
        <x:v>1989</x:v>
      </x:c>
      <x:c r="D158" s="14" t="n">
        <x:v>10690</x:v>
      </x:c>
      <x:c r="E158" s="14" t="n">
        <x:v>19460</x:v>
      </x:c>
      <x:c r="F158" s="14" t="n">
        <x:v>233</x:v>
      </x:c>
      <x:c r="G158" s="14" t="n">
        <x:v>11577</x:v>
      </x:c>
      <x:c r="H158" s="14" t="n">
        <x:v>2153</x:v>
      </x:c>
    </x:row>
    <x:row r="159">
      <x:c r="A159" s="14" t="n">
        <x:v>2</x:v>
      </x:c>
      <x:c r="B159" s="14" t="n">
        <x:v>3</x:v>
      </x:c>
      <x:c r="C159" s="14" t="n">
        <x:v>3830</x:v>
      </x:c>
      <x:c r="D159" s="14" t="n">
        <x:v>5291</x:v>
      </x:c>
      <x:c r="E159" s="14" t="n">
        <x:v>14855</x:v>
      </x:c>
      <x:c r="F159" s="14" t="n">
        <x:v>317</x:v>
      </x:c>
      <x:c r="G159" s="14" t="n">
        <x:v>6694</x:v>
      </x:c>
      <x:c r="H159" s="14" t="n">
        <x:v>3182</x:v>
      </x:c>
    </x:row>
    <x:row r="160">
      <x:c r="A160" s="14" t="n">
        <x:v>1</x:v>
      </x:c>
      <x:c r="B160" s="14" t="n">
        <x:v>3</x:v>
      </x:c>
      <x:c r="C160" s="14" t="n">
        <x:v>17773</x:v>
      </x:c>
      <x:c r="D160" s="14" t="n">
        <x:v>1366</x:v>
      </x:c>
      <x:c r="E160" s="14" t="n">
        <x:v>2474</x:v>
      </x:c>
      <x:c r="F160" s="14" t="n">
        <x:v>3378</x:v>
      </x:c>
      <x:c r="G160" s="14" t="n">
        <x:v>811</x:v>
      </x:c>
      <x:c r="H160" s="14" t="n">
        <x:v>418</x:v>
      </x:c>
    </x:row>
    <x:row r="161">
      <x:c r="A161" s="14" t="n">
        <x:v>2</x:v>
      </x:c>
      <x:c r="B161" s="14" t="n">
        <x:v>3</x:v>
      </x:c>
      <x:c r="C161" s="14" t="n">
        <x:v>2861</x:v>
      </x:c>
      <x:c r="D161" s="14" t="n">
        <x:v>6570</x:v>
      </x:c>
      <x:c r="E161" s="14" t="n">
        <x:v>9618</x:v>
      </x:c>
      <x:c r="F161" s="14" t="n">
        <x:v>930</x:v>
      </x:c>
      <x:c r="G161" s="14" t="n">
        <x:v>4004</x:v>
      </x:c>
      <x:c r="H161" s="14" t="n">
        <x:v>1682</x:v>
      </x:c>
    </x:row>
    <x:row r="162">
      <x:c r="A162" s="14" t="n">
        <x:v>2</x:v>
      </x:c>
      <x:c r="B162" s="14" t="n">
        <x:v>3</x:v>
      </x:c>
      <x:c r="C162" s="14" t="n">
        <x:v>355</x:v>
      </x:c>
      <x:c r="D162" s="14" t="n">
        <x:v>7704</x:v>
      </x:c>
      <x:c r="E162" s="14" t="n">
        <x:v>14682</x:v>
      </x:c>
      <x:c r="F162" s="14" t="n">
        <x:v>398</x:v>
      </x:c>
      <x:c r="G162" s="14" t="n">
        <x:v>8077</x:v>
      </x:c>
      <x:c r="H162" s="14" t="n">
        <x:v>303</x:v>
      </x:c>
    </x:row>
    <x:row r="163">
      <x:c r="A163" s="14" t="n">
        <x:v>2</x:v>
      </x:c>
      <x:c r="B163" s="14" t="n">
        <x:v>3</x:v>
      </x:c>
      <x:c r="C163" s="14" t="n">
        <x:v>1725</x:v>
      </x:c>
      <x:c r="D163" s="14" t="n">
        <x:v>3651</x:v>
      </x:c>
      <x:c r="E163" s="14" t="n">
        <x:v>12822</x:v>
      </x:c>
      <x:c r="F163" s="14" t="n">
        <x:v>824</x:v>
      </x:c>
      <x:c r="G163" s="14" t="n">
        <x:v>4424</x:v>
      </x:c>
      <x:c r="H163" s="14" t="n">
        <x:v>2157</x:v>
      </x:c>
    </x:row>
    <x:row r="164">
      <x:c r="A164" s="14" t="n">
        <x:v>1</x:v>
      </x:c>
      <x:c r="B164" s="14" t="n">
        <x:v>3</x:v>
      </x:c>
      <x:c r="C164" s="14" t="n">
        <x:v>12434</x:v>
      </x:c>
      <x:c r="D164" s="14" t="n">
        <x:v>540</x:v>
      </x:c>
      <x:c r="E164" s="14" t="n">
        <x:v>283</x:v>
      </x:c>
      <x:c r="F164" s="14" t="n">
        <x:v>1092</x:v>
      </x:c>
      <x:c r="G164" s="14" t="n">
        <x:v>3</x:v>
      </x:c>
      <x:c r="H164" s="14" t="n">
        <x:v>2233</x:v>
      </x:c>
    </x:row>
    <x:row r="165">
      <x:c r="A165" s="14" t="n">
        <x:v>1</x:v>
      </x:c>
      <x:c r="B165" s="14" t="n">
        <x:v>3</x:v>
      </x:c>
      <x:c r="C165" s="14" t="n">
        <x:v>15177</x:v>
      </x:c>
      <x:c r="D165" s="14" t="n">
        <x:v>2024</x:v>
      </x:c>
      <x:c r="E165" s="14" t="n">
        <x:v>3810</x:v>
      </x:c>
      <x:c r="F165" s="14" t="n">
        <x:v>2665</x:v>
      </x:c>
      <x:c r="G165" s="14" t="n">
        <x:v>232</x:v>
      </x:c>
      <x:c r="H165" s="14" t="n">
        <x:v>610</x:v>
      </x:c>
    </x:row>
    <x:row r="166">
      <x:c r="A166" s="14" t="n">
        <x:v>2</x:v>
      </x:c>
      <x:c r="B166" s="14" t="n">
        <x:v>3</x:v>
      </x:c>
      <x:c r="C166" s="14" t="n">
        <x:v>5531</x:v>
      </x:c>
      <x:c r="D166" s="14" t="n">
        <x:v>15726</x:v>
      </x:c>
      <x:c r="E166" s="14" t="n">
        <x:v>26870</x:v>
      </x:c>
      <x:c r="F166" s="14" t="n">
        <x:v>2367</x:v>
      </x:c>
      <x:c r="G166" s="14" t="n">
        <x:v>13726</x:v>
      </x:c>
      <x:c r="H166" s="14" t="n">
        <x:v>446</x:v>
      </x:c>
    </x:row>
    <x:row r="167">
      <x:c r="A167" s="14" t="n">
        <x:v>2</x:v>
      </x:c>
      <x:c r="B167" s="14" t="n">
        <x:v>3</x:v>
      </x:c>
      <x:c r="C167" s="14" t="n">
        <x:v>5224</x:v>
      </x:c>
      <x:c r="D167" s="14" t="n">
        <x:v>7603</x:v>
      </x:c>
      <x:c r="E167" s="14" t="n">
        <x:v>8584</x:v>
      </x:c>
      <x:c r="F167" s="14" t="n">
        <x:v>2540</x:v>
      </x:c>
      <x:c r="G167" s="14" t="n">
        <x:v>3674</x:v>
      </x:c>
      <x:c r="H167" s="14" t="n">
        <x:v>238</x:v>
      </x:c>
    </x:row>
    <x:row r="168">
      <x:c r="A168" s="14" t="n">
        <x:v>2</x:v>
      </x:c>
      <x:c r="B168" s="14" t="n">
        <x:v>3</x:v>
      </x:c>
      <x:c r="C168" s="14" t="n">
        <x:v>15615</x:v>
      </x:c>
      <x:c r="D168" s="14" t="n">
        <x:v>12653</x:v>
      </x:c>
      <x:c r="E168" s="14" t="n">
        <x:v>19858</x:v>
      </x:c>
      <x:c r="F168" s="14" t="n">
        <x:v>4425</x:v>
      </x:c>
      <x:c r="G168" s="14" t="n">
        <x:v>7108</x:v>
      </x:c>
      <x:c r="H168" s="14" t="n">
        <x:v>2379</x:v>
      </x:c>
    </x:row>
    <x:row r="169">
      <x:c r="A169" s="14" t="n">
        <x:v>2</x:v>
      </x:c>
      <x:c r="B169" s="14" t="n">
        <x:v>3</x:v>
      </x:c>
      <x:c r="C169" s="14" t="n">
        <x:v>4822</x:v>
      </x:c>
      <x:c r="D169" s="14" t="n">
        <x:v>6721</x:v>
      </x:c>
      <x:c r="E169" s="14" t="n">
        <x:v>9170</x:v>
      </x:c>
      <x:c r="F169" s="14" t="n">
        <x:v>993</x:v>
      </x:c>
      <x:c r="G169" s="14" t="n">
        <x:v>4973</x:v>
      </x:c>
      <x:c r="H169" s="14" t="n">
        <x:v>3637</x:v>
      </x:c>
    </x:row>
    <x:row r="170">
      <x:c r="A170" s="14" t="n">
        <x:v>1</x:v>
      </x:c>
      <x:c r="B170" s="14" t="n">
        <x:v>3</x:v>
      </x:c>
      <x:c r="C170" s="14" t="n">
        <x:v>2926</x:v>
      </x:c>
      <x:c r="D170" s="14" t="n">
        <x:v>3195</x:v>
      </x:c>
      <x:c r="E170" s="14" t="n">
        <x:v>3268</x:v>
      </x:c>
      <x:c r="F170" s="14" t="n">
        <x:v>405</x:v>
      </x:c>
      <x:c r="G170" s="14" t="n">
        <x:v>1680</x:v>
      </x:c>
      <x:c r="H170" s="14" t="n">
        <x:v>693</x:v>
      </x:c>
    </x:row>
    <x:row r="171">
      <x:c r="A171" s="14" t="n">
        <x:v>1</x:v>
      </x:c>
      <x:c r="B171" s="14" t="n">
        <x:v>3</x:v>
      </x:c>
      <x:c r="C171" s="14" t="n">
        <x:v>5809</x:v>
      </x:c>
      <x:c r="D171" s="14" t="n">
        <x:v>735</x:v>
      </x:c>
      <x:c r="E171" s="14" t="n">
        <x:v>803</x:v>
      </x:c>
      <x:c r="F171" s="14" t="n">
        <x:v>1393</x:v>
      </x:c>
      <x:c r="G171" s="14" t="n">
        <x:v>79</x:v>
      </x:c>
      <x:c r="H171" s="14" t="n">
        <x:v>429</x:v>
      </x:c>
    </x:row>
    <x:row r="172">
      <x:c r="A172" s="14" t="n">
        <x:v>1</x:v>
      </x:c>
      <x:c r="B172" s="14" t="n">
        <x:v>3</x:v>
      </x:c>
      <x:c r="C172" s="14" t="n">
        <x:v>5414</x:v>
      </x:c>
      <x:c r="D172" s="14" t="n">
        <x:v>717</x:v>
      </x:c>
      <x:c r="E172" s="14" t="n">
        <x:v>2155</x:v>
      </x:c>
      <x:c r="F172" s="14" t="n">
        <x:v>2399</x:v>
      </x:c>
      <x:c r="G172" s="14" t="n">
        <x:v>69</x:v>
      </x:c>
      <x:c r="H172" s="14" t="n">
        <x:v>750</x:v>
      </x:c>
    </x:row>
    <x:row r="173">
      <x:c r="A173" s="14" t="n">
        <x:v>2</x:v>
      </x:c>
      <x:c r="B173" s="14" t="n">
        <x:v>3</x:v>
      </x:c>
      <x:c r="C173" s="14" t="n">
        <x:v>260</x:v>
      </x:c>
      <x:c r="D173" s="14" t="n">
        <x:v>8675</x:v>
      </x:c>
      <x:c r="E173" s="14" t="n">
        <x:v>13430</x:v>
      </x:c>
      <x:c r="F173" s="14" t="n">
        <x:v>1116</x:v>
      </x:c>
      <x:c r="G173" s="14" t="n">
        <x:v>7015</x:v>
      </x:c>
      <x:c r="H173" s="14" t="n">
        <x:v>323</x:v>
      </x:c>
    </x:row>
    <x:row r="174">
      <x:c r="A174" s="14" t="n">
        <x:v>2</x:v>
      </x:c>
      <x:c r="B174" s="14" t="n">
        <x:v>3</x:v>
      </x:c>
      <x:c r="C174" s="14" t="n">
        <x:v>200</x:v>
      </x:c>
      <x:c r="D174" s="14" t="n">
        <x:v>25862</x:v>
      </x:c>
      <x:c r="E174" s="14" t="n">
        <x:v>19816</x:v>
      </x:c>
      <x:c r="F174" s="14" t="n">
        <x:v>651</x:v>
      </x:c>
      <x:c r="G174" s="14" t="n">
        <x:v>8773</x:v>
      </x:c>
      <x:c r="H174" s="14" t="n">
        <x:v>6250</x:v>
      </x:c>
    </x:row>
    <x:row r="175">
      <x:c r="A175" s="14" t="n">
        <x:v>1</x:v>
      </x:c>
      <x:c r="B175" s="14" t="n">
        <x:v>3</x:v>
      </x:c>
      <x:c r="C175" s="14" t="n">
        <x:v>955</x:v>
      </x:c>
      <x:c r="D175" s="14" t="n">
        <x:v>5479</x:v>
      </x:c>
      <x:c r="E175" s="14" t="n">
        <x:v>6536</x:v>
      </x:c>
      <x:c r="F175" s="14" t="n">
        <x:v>333</x:v>
      </x:c>
      <x:c r="G175" s="14" t="n">
        <x:v>2840</x:v>
      </x:c>
      <x:c r="H175" s="14" t="n">
        <x:v>707</x:v>
      </x:c>
    </x:row>
    <x:row r="176">
      <x:c r="A176" s="14" t="n">
        <x:v>2</x:v>
      </x:c>
      <x:c r="B176" s="14" t="n">
        <x:v>3</x:v>
      </x:c>
      <x:c r="C176" s="14" t="n">
        <x:v>514</x:v>
      </x:c>
      <x:c r="D176" s="14" t="n">
        <x:v>7677</x:v>
      </x:c>
      <x:c r="E176" s="14" t="n">
        <x:v>19805</x:v>
      </x:c>
      <x:c r="F176" s="14" t="n">
        <x:v>937</x:v>
      </x:c>
      <x:c r="G176" s="14" t="n">
        <x:v>9836</x:v>
      </x:c>
      <x:c r="H176" s="14" t="n">
        <x:v>716</x:v>
      </x:c>
    </x:row>
    <x:row r="177">
      <x:c r="A177" s="14" t="n">
        <x:v>1</x:v>
      </x:c>
      <x:c r="B177" s="14" t="n">
        <x:v>3</x:v>
      </x:c>
      <x:c r="C177" s="14" t="n">
        <x:v>286</x:v>
      </x:c>
      <x:c r="D177" s="14" t="n">
        <x:v>1208</x:v>
      </x:c>
      <x:c r="E177" s="14" t="n">
        <x:v>5241</x:v>
      </x:c>
      <x:c r="F177" s="14" t="n">
        <x:v>2515</x:v>
      </x:c>
      <x:c r="G177" s="14" t="n">
        <x:v>153</x:v>
      </x:c>
      <x:c r="H177" s="14" t="n">
        <x:v>1442</x:v>
      </x:c>
    </x:row>
    <x:row r="178">
      <x:c r="A178" s="14" t="n">
        <x:v>2</x:v>
      </x:c>
      <x:c r="B178" s="14" t="n">
        <x:v>3</x:v>
      </x:c>
      <x:c r="C178" s="14" t="n">
        <x:v>2343</x:v>
      </x:c>
      <x:c r="D178" s="14" t="n">
        <x:v>7845</x:v>
      </x:c>
      <x:c r="E178" s="14" t="n">
        <x:v>11874</x:v>
      </x:c>
      <x:c r="F178" s="14" t="n">
        <x:v>52</x:v>
      </x:c>
      <x:c r="G178" s="14" t="n">
        <x:v>4196</x:v>
      </x:c>
      <x:c r="H178" s="14" t="n">
        <x:v>1697</x:v>
      </x:c>
    </x:row>
    <x:row r="179">
      <x:c r="A179" s="14" t="n">
        <x:v>1</x:v>
      </x:c>
      <x:c r="B179" s="14" t="n">
        <x:v>3</x:v>
      </x:c>
      <x:c r="C179" s="14" t="n">
        <x:v>45640</x:v>
      </x:c>
      <x:c r="D179" s="14" t="n">
        <x:v>6958</x:v>
      </x:c>
      <x:c r="E179" s="14" t="n">
        <x:v>6536</x:v>
      </x:c>
      <x:c r="F179" s="14" t="n">
        <x:v>7368</x:v>
      </x:c>
      <x:c r="G179" s="14" t="n">
        <x:v>1532</x:v>
      </x:c>
      <x:c r="H179" s="14" t="n">
        <x:v>230</x:v>
      </x:c>
    </x:row>
    <x:row r="180">
      <x:c r="A180" s="14" t="n">
        <x:v>1</x:v>
      </x:c>
      <x:c r="B180" s="14" t="n">
        <x:v>3</x:v>
      </x:c>
      <x:c r="C180" s="14" t="n">
        <x:v>12759</x:v>
      </x:c>
      <x:c r="D180" s="14" t="n">
        <x:v>7330</x:v>
      </x:c>
      <x:c r="E180" s="14" t="n">
        <x:v>4533</x:v>
      </x:c>
      <x:c r="F180" s="14" t="n">
        <x:v>1752</x:v>
      </x:c>
      <x:c r="G180" s="14" t="n">
        <x:v>20</x:v>
      </x:c>
      <x:c r="H180" s="14" t="n">
        <x:v>2631</x:v>
      </x:c>
    </x:row>
    <x:row r="181">
      <x:c r="A181" s="14" t="n">
        <x:v>1</x:v>
      </x:c>
      <x:c r="B181" s="14" t="n">
        <x:v>3</x:v>
      </x:c>
      <x:c r="C181" s="14" t="n">
        <x:v>11002</x:v>
      </x:c>
      <x:c r="D181" s="14" t="n">
        <x:v>7075</x:v>
      </x:c>
      <x:c r="E181" s="14" t="n">
        <x:v>4945</x:v>
      </x:c>
      <x:c r="F181" s="14" t="n">
        <x:v>1152</x:v>
      </x:c>
      <x:c r="G181" s="14" t="n">
        <x:v>120</x:v>
      </x:c>
      <x:c r="H181" s="14" t="n">
        <x:v>395</x:v>
      </x:c>
    </x:row>
    <x:row r="182">
      <x:c r="A182" s="14" t="n">
        <x:v>1</x:v>
      </x:c>
      <x:c r="B182" s="14" t="n">
        <x:v>3</x:v>
      </x:c>
      <x:c r="C182" s="14" t="n">
        <x:v>3157</x:v>
      </x:c>
      <x:c r="D182" s="14" t="n">
        <x:v>4888</x:v>
      </x:c>
      <x:c r="E182" s="14" t="n">
        <x:v>2500</x:v>
      </x:c>
      <x:c r="F182" s="14" t="n">
        <x:v>4477</x:v>
      </x:c>
      <x:c r="G182" s="14" t="n">
        <x:v>273</x:v>
      </x:c>
      <x:c r="H182" s="14" t="n">
        <x:v>2165</x:v>
      </x:c>
    </x:row>
    <x:row r="183">
      <x:c r="A183" s="14" t="n">
        <x:v>1</x:v>
      </x:c>
      <x:c r="B183" s="14" t="n">
        <x:v>3</x:v>
      </x:c>
      <x:c r="C183" s="14" t="n">
        <x:v>12356</x:v>
      </x:c>
      <x:c r="D183" s="14" t="n">
        <x:v>6036</x:v>
      </x:c>
      <x:c r="E183" s="14" t="n">
        <x:v>8887</x:v>
      </x:c>
      <x:c r="F183" s="14" t="n">
        <x:v>402</x:v>
      </x:c>
      <x:c r="G183" s="14" t="n">
        <x:v>1382</x:v>
      </x:c>
      <x:c r="H183" s="14" t="n">
        <x:v>2794</x:v>
      </x:c>
    </x:row>
    <x:row r="184">
      <x:c r="A184" s="14" t="n">
        <x:v>1</x:v>
      </x:c>
      <x:c r="B184" s="14" t="n">
        <x:v>3</x:v>
      </x:c>
      <x:c r="C184" s="14" t="n">
        <x:v>112151</x:v>
      </x:c>
      <x:c r="D184" s="14" t="n">
        <x:v>29627</x:v>
      </x:c>
      <x:c r="E184" s="14" t="n">
        <x:v>18148</x:v>
      </x:c>
      <x:c r="F184" s="14" t="n">
        <x:v>16745</x:v>
      </x:c>
      <x:c r="G184" s="14" t="n">
        <x:v>4948</x:v>
      </x:c>
      <x:c r="H184" s="14" t="n">
        <x:v>8550</x:v>
      </x:c>
    </x:row>
    <x:row r="185">
      <x:c r="A185" s="14" t="n">
        <x:v>1</x:v>
      </x:c>
      <x:c r="B185" s="14" t="n">
        <x:v>3</x:v>
      </x:c>
      <x:c r="C185" s="14" t="n">
        <x:v>694</x:v>
      </x:c>
      <x:c r="D185" s="14" t="n">
        <x:v>8533</x:v>
      </x:c>
      <x:c r="E185" s="14" t="n">
        <x:v>10518</x:v>
      </x:c>
      <x:c r="F185" s="14" t="n">
        <x:v>443</x:v>
      </x:c>
      <x:c r="G185" s="14" t="n">
        <x:v>6907</x:v>
      </x:c>
      <x:c r="H185" s="14" t="n">
        <x:v>156</x:v>
      </x:c>
    </x:row>
    <x:row r="186">
      <x:c r="A186" s="14" t="n">
        <x:v>1</x:v>
      </x:c>
      <x:c r="B186" s="14" t="n">
        <x:v>3</x:v>
      </x:c>
      <x:c r="C186" s="14" t="n">
        <x:v>36847</x:v>
      </x:c>
      <x:c r="D186" s="14" t="n">
        <x:v>43950</x:v>
      </x:c>
      <x:c r="E186" s="14" t="n">
        <x:v>20170</x:v>
      </x:c>
      <x:c r="F186" s="14" t="n">
        <x:v>36534</x:v>
      </x:c>
      <x:c r="G186" s="14" t="n">
        <x:v>239</x:v>
      </x:c>
      <x:c r="H186" s="14" t="n">
        <x:v>47943</x:v>
      </x:c>
    </x:row>
    <x:row r="187">
      <x:c r="A187" s="14" t="n">
        <x:v>1</x:v>
      </x:c>
      <x:c r="B187" s="14" t="n">
        <x:v>3</x:v>
      </x:c>
      <x:c r="C187" s="14" t="n">
        <x:v>327</x:v>
      </x:c>
      <x:c r="D187" s="14" t="n">
        <x:v>918</x:v>
      </x:c>
      <x:c r="E187" s="14" t="n">
        <x:v>4710</x:v>
      </x:c>
      <x:c r="F187" s="14" t="n">
        <x:v>74</x:v>
      </x:c>
      <x:c r="G187" s="14" t="n">
        <x:v>334</x:v>
      </x:c>
      <x:c r="H187" s="14" t="n">
        <x:v>11</x:v>
      </x:c>
    </x:row>
    <x:row r="188">
      <x:c r="A188" s="14" t="n">
        <x:v>1</x:v>
      </x:c>
      <x:c r="B188" s="14" t="n">
        <x:v>3</x:v>
      </x:c>
      <x:c r="C188" s="14" t="n">
        <x:v>8170</x:v>
      </x:c>
      <x:c r="D188" s="14" t="n">
        <x:v>6448</x:v>
      </x:c>
      <x:c r="E188" s="14" t="n">
        <x:v>1139</x:v>
      </x:c>
      <x:c r="F188" s="14" t="n">
        <x:v>2181</x:v>
      </x:c>
      <x:c r="G188" s="14" t="n">
        <x:v>58</x:v>
      </x:c>
      <x:c r="H188" s="14" t="n">
        <x:v>247</x:v>
      </x:c>
    </x:row>
    <x:row r="189">
      <x:c r="A189" s="14" t="n">
        <x:v>1</x:v>
      </x:c>
      <x:c r="B189" s="14" t="n">
        <x:v>3</x:v>
      </x:c>
      <x:c r="C189" s="14" t="n">
        <x:v>3009</x:v>
      </x:c>
      <x:c r="D189" s="14" t="n">
        <x:v>521</x:v>
      </x:c>
      <x:c r="E189" s="14" t="n">
        <x:v>854</x:v>
      </x:c>
      <x:c r="F189" s="14" t="n">
        <x:v>3470</x:v>
      </x:c>
      <x:c r="G189" s="14" t="n">
        <x:v>949</x:v>
      </x:c>
      <x:c r="H189" s="14" t="n">
        <x:v>727</x:v>
      </x:c>
    </x:row>
    <x:row r="190">
      <x:c r="A190" s="14" t="n">
        <x:v>1</x:v>
      </x:c>
      <x:c r="B190" s="14" t="n">
        <x:v>3</x:v>
      </x:c>
      <x:c r="C190" s="14" t="n">
        <x:v>2438</x:v>
      </x:c>
      <x:c r="D190" s="14" t="n">
        <x:v>8002</x:v>
      </x:c>
      <x:c r="E190" s="14" t="n">
        <x:v>9819</x:v>
      </x:c>
      <x:c r="F190" s="14" t="n">
        <x:v>6269</x:v>
      </x:c>
      <x:c r="G190" s="14" t="n">
        <x:v>3459</x:v>
      </x:c>
      <x:c r="H190" s="14" t="n">
        <x:v>3</x:v>
      </x:c>
    </x:row>
    <x:row r="191">
      <x:c r="A191" s="14" t="n">
        <x:v>2</x:v>
      </x:c>
      <x:c r="B191" s="14" t="n">
        <x:v>3</x:v>
      </x:c>
      <x:c r="C191" s="14" t="n">
        <x:v>8040</x:v>
      </x:c>
      <x:c r="D191" s="14" t="n">
        <x:v>7639</x:v>
      </x:c>
      <x:c r="E191" s="14" t="n">
        <x:v>11687</x:v>
      </x:c>
      <x:c r="F191" s="14" t="n">
        <x:v>2758</x:v>
      </x:c>
      <x:c r="G191" s="14" t="n">
        <x:v>6839</x:v>
      </x:c>
      <x:c r="H191" s="14" t="n">
        <x:v>404</x:v>
      </x:c>
    </x:row>
    <x:row r="192">
      <x:c r="A192" s="14" t="n">
        <x:v>2</x:v>
      </x:c>
      <x:c r="B192" s="14" t="n">
        <x:v>3</x:v>
      </x:c>
      <x:c r="C192" s="14" t="n">
        <x:v>834</x:v>
      </x:c>
      <x:c r="D192" s="14" t="n">
        <x:v>11577</x:v>
      </x:c>
      <x:c r="E192" s="14" t="n">
        <x:v>11522</x:v>
      </x:c>
      <x:c r="F192" s="14" t="n">
        <x:v>275</x:v>
      </x:c>
      <x:c r="G192" s="14" t="n">
        <x:v>4027</x:v>
      </x:c>
      <x:c r="H192" s="14" t="n">
        <x:v>1856</x:v>
      </x:c>
    </x:row>
    <x:row r="193">
      <x:c r="A193" s="14" t="n">
        <x:v>1</x:v>
      </x:c>
      <x:c r="B193" s="14" t="n">
        <x:v>3</x:v>
      </x:c>
      <x:c r="C193" s="14" t="n">
        <x:v>16936</x:v>
      </x:c>
      <x:c r="D193" s="14" t="n">
        <x:v>6250</x:v>
      </x:c>
      <x:c r="E193" s="14" t="n">
        <x:v>1981</x:v>
      </x:c>
      <x:c r="F193" s="14" t="n">
        <x:v>7332</x:v>
      </x:c>
      <x:c r="G193" s="14" t="n">
        <x:v>118</x:v>
      </x:c>
      <x:c r="H193" s="14" t="n">
        <x:v>64</x:v>
      </x:c>
    </x:row>
    <x:row r="194">
      <x:c r="A194" s="14" t="n">
        <x:v>1</x:v>
      </x:c>
      <x:c r="B194" s="14" t="n">
        <x:v>3</x:v>
      </x:c>
      <x:c r="C194" s="14" t="n">
        <x:v>13624</x:v>
      </x:c>
      <x:c r="D194" s="14" t="n">
        <x:v>295</x:v>
      </x:c>
      <x:c r="E194" s="14" t="n">
        <x:v>1381</x:v>
      </x:c>
      <x:c r="F194" s="14" t="n">
        <x:v>890</x:v>
      </x:c>
      <x:c r="G194" s="14" t="n">
        <x:v>43</x:v>
      </x:c>
      <x:c r="H194" s="14" t="n">
        <x:v>84</x:v>
      </x:c>
    </x:row>
    <x:row r="195">
      <x:c r="A195" s="14" t="n">
        <x:v>1</x:v>
      </x:c>
      <x:c r="B195" s="14" t="n">
        <x:v>3</x:v>
      </x:c>
      <x:c r="C195" s="14" t="n">
        <x:v>5509</x:v>
      </x:c>
      <x:c r="D195" s="14" t="n">
        <x:v>1461</x:v>
      </x:c>
      <x:c r="E195" s="14" t="n">
        <x:v>2251</x:v>
      </x:c>
      <x:c r="F195" s="14" t="n">
        <x:v>547</x:v>
      </x:c>
      <x:c r="G195" s="14" t="n">
        <x:v>187</x:v>
      </x:c>
      <x:c r="H195" s="14" t="n">
        <x:v>409</x:v>
      </x:c>
    </x:row>
    <x:row r="196">
      <x:c r="A196" s="14" t="n">
        <x:v>2</x:v>
      </x:c>
      <x:c r="B196" s="14" t="n">
        <x:v>3</x:v>
      </x:c>
      <x:c r="C196" s="14" t="n">
        <x:v>180</x:v>
      </x:c>
      <x:c r="D196" s="14" t="n">
        <x:v>3485</x:v>
      </x:c>
      <x:c r="E196" s="14" t="n">
        <x:v>20292</x:v>
      </x:c>
      <x:c r="F196" s="14" t="n">
        <x:v>959</x:v>
      </x:c>
      <x:c r="G196" s="14" t="n">
        <x:v>5618</x:v>
      </x:c>
      <x:c r="H196" s="14" t="n">
        <x:v>666</x:v>
      </x:c>
    </x:row>
    <x:row r="197">
      <x:c r="A197" s="14" t="n">
        <x:v>1</x:v>
      </x:c>
      <x:c r="B197" s="14" t="n">
        <x:v>3</x:v>
      </x:c>
      <x:c r="C197" s="14" t="n">
        <x:v>7107</x:v>
      </x:c>
      <x:c r="D197" s="14" t="n">
        <x:v>1012</x:v>
      </x:c>
      <x:c r="E197" s="14" t="n">
        <x:v>2974</x:v>
      </x:c>
      <x:c r="F197" s="14" t="n">
        <x:v>806</x:v>
      </x:c>
      <x:c r="G197" s="14" t="n">
        <x:v>355</x:v>
      </x:c>
      <x:c r="H197" s="14" t="n">
        <x:v>1142</x:v>
      </x:c>
    </x:row>
    <x:row r="198">
      <x:c r="A198" s="14" t="n">
        <x:v>1</x:v>
      </x:c>
      <x:c r="B198" s="14" t="n">
        <x:v>3</x:v>
      </x:c>
      <x:c r="C198" s="14" t="n">
        <x:v>17023</x:v>
      </x:c>
      <x:c r="D198" s="14" t="n">
        <x:v>5139</x:v>
      </x:c>
      <x:c r="E198" s="14" t="n">
        <x:v>5230</x:v>
      </x:c>
      <x:c r="F198" s="14" t="n">
        <x:v>7888</x:v>
      </x:c>
      <x:c r="G198" s="14" t="n">
        <x:v>330</x:v>
      </x:c>
      <x:c r="H198" s="14" t="n">
        <x:v>1755</x:v>
      </x:c>
    </x:row>
    <x:row r="199">
      <x:c r="A199" s="14" t="n">
        <x:v>1</x:v>
      </x:c>
      <x:c r="B199" s="14" t="n">
        <x:v>1</x:v>
      </x:c>
      <x:c r="C199" s="14" t="n">
        <x:v>30624</x:v>
      </x:c>
      <x:c r="D199" s="14" t="n">
        <x:v>7209</x:v>
      </x:c>
      <x:c r="E199" s="14" t="n">
        <x:v>4897</x:v>
      </x:c>
      <x:c r="F199" s="14" t="n">
        <x:v>18711</x:v>
      </x:c>
      <x:c r="G199" s="14" t="n">
        <x:v>763</x:v>
      </x:c>
      <x:c r="H199" s="14" t="n">
        <x:v>2876</x:v>
      </x:c>
    </x:row>
    <x:row r="200">
      <x:c r="A200" s="14" t="n">
        <x:v>2</x:v>
      </x:c>
      <x:c r="B200" s="14" t="n">
        <x:v>1</x:v>
      </x:c>
      <x:c r="C200" s="14" t="n">
        <x:v>2427</x:v>
      </x:c>
      <x:c r="D200" s="14" t="n">
        <x:v>7097</x:v>
      </x:c>
      <x:c r="E200" s="14" t="n">
        <x:v>10391</x:v>
      </x:c>
      <x:c r="F200" s="14" t="n">
        <x:v>1127</x:v>
      </x:c>
      <x:c r="G200" s="14" t="n">
        <x:v>4314</x:v>
      </x:c>
      <x:c r="H200" s="14" t="n">
        <x:v>1468</x:v>
      </x:c>
    </x:row>
    <x:row r="201">
      <x:c r="A201" s="14" t="n">
        <x:v>1</x:v>
      </x:c>
      <x:c r="B201" s="14" t="n">
        <x:v>1</x:v>
      </x:c>
      <x:c r="C201" s="14" t="n">
        <x:v>11686</x:v>
      </x:c>
      <x:c r="D201" s="14" t="n">
        <x:v>2154</x:v>
      </x:c>
      <x:c r="E201" s="14" t="n">
        <x:v>6824</x:v>
      </x:c>
      <x:c r="F201" s="14" t="n">
        <x:v>3527</x:v>
      </x:c>
      <x:c r="G201" s="14" t="n">
        <x:v>592</x:v>
      </x:c>
      <x:c r="H201" s="14" t="n">
        <x:v>697</x:v>
      </x:c>
    </x:row>
    <x:row r="202">
      <x:c r="A202" s="14" t="n">
        <x:v>1</x:v>
      </x:c>
      <x:c r="B202" s="14" t="n">
        <x:v>1</x:v>
      </x:c>
      <x:c r="C202" s="14" t="n">
        <x:v>9670</x:v>
      </x:c>
      <x:c r="D202" s="14" t="n">
        <x:v>2280</x:v>
      </x:c>
      <x:c r="E202" s="14" t="n">
        <x:v>2112</x:v>
      </x:c>
      <x:c r="F202" s="14" t="n">
        <x:v>520</x:v>
      </x:c>
      <x:c r="G202" s="14" t="n">
        <x:v>402</x:v>
      </x:c>
      <x:c r="H202" s="14" t="n">
        <x:v>347</x:v>
      </x:c>
    </x:row>
    <x:row r="203">
      <x:c r="A203" s="14" t="n">
        <x:v>2</x:v>
      </x:c>
      <x:c r="B203" s="14" t="n">
        <x:v>1</x:v>
      </x:c>
      <x:c r="C203" s="14" t="n">
        <x:v>3067</x:v>
      </x:c>
      <x:c r="D203" s="14" t="n">
        <x:v>13240</x:v>
      </x:c>
      <x:c r="E203" s="14" t="n">
        <x:v>23127</x:v>
      </x:c>
      <x:c r="F203" s="14" t="n">
        <x:v>3941</x:v>
      </x:c>
      <x:c r="G203" s="14" t="n">
        <x:v>9959</x:v>
      </x:c>
      <x:c r="H203" s="14" t="n">
        <x:v>731</x:v>
      </x:c>
    </x:row>
    <x:row r="204">
      <x:c r="A204" s="14" t="n">
        <x:v>2</x:v>
      </x:c>
      <x:c r="B204" s="14" t="n">
        <x:v>1</x:v>
      </x:c>
      <x:c r="C204" s="14" t="n">
        <x:v>4484</x:v>
      </x:c>
      <x:c r="D204" s="14" t="n">
        <x:v>14399</x:v>
      </x:c>
      <x:c r="E204" s="14" t="n">
        <x:v>24708</x:v>
      </x:c>
      <x:c r="F204" s="14" t="n">
        <x:v>3549</x:v>
      </x:c>
      <x:c r="G204" s="14" t="n">
        <x:v>14235</x:v>
      </x:c>
      <x:c r="H204" s="14" t="n">
        <x:v>1681</x:v>
      </x:c>
    </x:row>
    <x:row r="205">
      <x:c r="A205" s="14" t="n">
        <x:v>1</x:v>
      </x:c>
      <x:c r="B205" s="14" t="n">
        <x:v>1</x:v>
      </x:c>
      <x:c r="C205" s="14" t="n">
        <x:v>25203</x:v>
      </x:c>
      <x:c r="D205" s="14" t="n">
        <x:v>11487</x:v>
      </x:c>
      <x:c r="E205" s="14" t="n">
        <x:v>9490</x:v>
      </x:c>
      <x:c r="F205" s="14" t="n">
        <x:v>5065</x:v>
      </x:c>
      <x:c r="G205" s="14" t="n">
        <x:v>284</x:v>
      </x:c>
      <x:c r="H205" s="14" t="n">
        <x:v>6854</x:v>
      </x:c>
    </x:row>
    <x:row r="206">
      <x:c r="A206" s="14" t="n">
        <x:v>1</x:v>
      </x:c>
      <x:c r="B206" s="14" t="n">
        <x:v>1</x:v>
      </x:c>
      <x:c r="C206" s="14" t="n">
        <x:v>583</x:v>
      </x:c>
      <x:c r="D206" s="14" t="n">
        <x:v>685</x:v>
      </x:c>
      <x:c r="E206" s="14" t="n">
        <x:v>2216</x:v>
      </x:c>
      <x:c r="F206" s="14" t="n">
        <x:v>469</x:v>
      </x:c>
      <x:c r="G206" s="14" t="n">
        <x:v>954</x:v>
      </x:c>
      <x:c r="H206" s="14" t="n">
        <x:v>18</x:v>
      </x:c>
    </x:row>
    <x:row r="207">
      <x:c r="A207" s="14" t="n">
        <x:v>1</x:v>
      </x:c>
      <x:c r="B207" s="14" t="n">
        <x:v>1</x:v>
      </x:c>
      <x:c r="C207" s="14" t="n">
        <x:v>1956</x:v>
      </x:c>
      <x:c r="D207" s="14" t="n">
        <x:v>891</x:v>
      </x:c>
      <x:c r="E207" s="14" t="n">
        <x:v>5226</x:v>
      </x:c>
      <x:c r="F207" s="14" t="n">
        <x:v>1383</x:v>
      </x:c>
      <x:c r="G207" s="14" t="n">
        <x:v>5</x:v>
      </x:c>
      <x:c r="H207" s="14" t="n">
        <x:v>1328</x:v>
      </x:c>
    </x:row>
    <x:row r="208">
      <x:c r="A208" s="14" t="n">
        <x:v>2</x:v>
      </x:c>
      <x:c r="B208" s="14" t="n">
        <x:v>1</x:v>
      </x:c>
      <x:c r="C208" s="14" t="n">
        <x:v>1107</x:v>
      </x:c>
      <x:c r="D208" s="14" t="n">
        <x:v>11711</x:v>
      </x:c>
      <x:c r="E208" s="14" t="n">
        <x:v>23596</x:v>
      </x:c>
      <x:c r="F208" s="14" t="n">
        <x:v>955</x:v>
      </x:c>
      <x:c r="G208" s="14" t="n">
        <x:v>9265</x:v>
      </x:c>
      <x:c r="H208" s="14" t="n">
        <x:v>710</x:v>
      </x:c>
    </x:row>
    <x:row r="209">
      <x:c r="A209" s="14" t="n">
        <x:v>1</x:v>
      </x:c>
      <x:c r="B209" s="14" t="n">
        <x:v>1</x:v>
      </x:c>
      <x:c r="C209" s="14" t="n">
        <x:v>6373</x:v>
      </x:c>
      <x:c r="D209" s="14" t="n">
        <x:v>780</x:v>
      </x:c>
      <x:c r="E209" s="14" t="n">
        <x:v>950</x:v>
      </x:c>
      <x:c r="F209" s="14" t="n">
        <x:v>878</x:v>
      </x:c>
      <x:c r="G209" s="14" t="n">
        <x:v>288</x:v>
      </x:c>
      <x:c r="H209" s="14" t="n">
        <x:v>285</x:v>
      </x:c>
    </x:row>
    <x:row r="210">
      <x:c r="A210" s="14" t="n">
        <x:v>2</x:v>
      </x:c>
      <x:c r="B210" s="14" t="n">
        <x:v>1</x:v>
      </x:c>
      <x:c r="C210" s="14" t="n">
        <x:v>2541</x:v>
      </x:c>
      <x:c r="D210" s="14" t="n">
        <x:v>4737</x:v>
      </x:c>
      <x:c r="E210" s="14" t="n">
        <x:v>6089</x:v>
      </x:c>
      <x:c r="F210" s="14" t="n">
        <x:v>2946</x:v>
      </x:c>
      <x:c r="G210" s="14" t="n">
        <x:v>5316</x:v>
      </x:c>
      <x:c r="H210" s="14" t="n">
        <x:v>120</x:v>
      </x:c>
    </x:row>
    <x:row r="211">
      <x:c r="A211" s="14" t="n">
        <x:v>1</x:v>
      </x:c>
      <x:c r="B211" s="14" t="n">
        <x:v>1</x:v>
      </x:c>
      <x:c r="C211" s="14" t="n">
        <x:v>1537</x:v>
      </x:c>
      <x:c r="D211" s="14" t="n">
        <x:v>3748</x:v>
      </x:c>
      <x:c r="E211" s="14" t="n">
        <x:v>5838</x:v>
      </x:c>
      <x:c r="F211" s="14" t="n">
        <x:v>1859</x:v>
      </x:c>
      <x:c r="G211" s="14" t="n">
        <x:v>3381</x:v>
      </x:c>
      <x:c r="H211" s="14" t="n">
        <x:v>806</x:v>
      </x:c>
    </x:row>
    <x:row r="212">
      <x:c r="A212" s="14" t="n">
        <x:v>2</x:v>
      </x:c>
      <x:c r="B212" s="14" t="n">
        <x:v>1</x:v>
      </x:c>
      <x:c r="C212" s="14" t="n">
        <x:v>5550</x:v>
      </x:c>
      <x:c r="D212" s="14" t="n">
        <x:v>12729</x:v>
      </x:c>
      <x:c r="E212" s="14" t="n">
        <x:v>16767</x:v>
      </x:c>
      <x:c r="F212" s="14" t="n">
        <x:v>864</x:v>
      </x:c>
      <x:c r="G212" s="14" t="n">
        <x:v>12420</x:v>
      </x:c>
      <x:c r="H212" s="14" t="n">
        <x:v>797</x:v>
      </x:c>
    </x:row>
    <x:row r="213">
      <x:c r="A213" s="14" t="n">
        <x:v>1</x:v>
      </x:c>
      <x:c r="B213" s="14" t="n">
        <x:v>1</x:v>
      </x:c>
      <x:c r="C213" s="14" t="n">
        <x:v>18567</x:v>
      </x:c>
      <x:c r="D213" s="14" t="n">
        <x:v>1895</x:v>
      </x:c>
      <x:c r="E213" s="14" t="n">
        <x:v>1393</x:v>
      </x:c>
      <x:c r="F213" s="14" t="n">
        <x:v>1801</x:v>
      </x:c>
      <x:c r="G213" s="14" t="n">
        <x:v>244</x:v>
      </x:c>
      <x:c r="H213" s="14" t="n">
        <x:v>2100</x:v>
      </x:c>
    </x:row>
    <x:row r="214">
      <x:c r="A214" s="14" t="n">
        <x:v>2</x:v>
      </x:c>
      <x:c r="B214" s="14" t="n">
        <x:v>1</x:v>
      </x:c>
      <x:c r="C214" s="14" t="n">
        <x:v>12119</x:v>
      </x:c>
      <x:c r="D214" s="14" t="n">
        <x:v>28326</x:v>
      </x:c>
      <x:c r="E214" s="14" t="n">
        <x:v>39694</x:v>
      </x:c>
      <x:c r="F214" s="14" t="n">
        <x:v>4736</x:v>
      </x:c>
      <x:c r="G214" s="14" t="n">
        <x:v>19410</x:v>
      </x:c>
      <x:c r="H214" s="14" t="n">
        <x:v>2870</x:v>
      </x:c>
    </x:row>
    <x:row r="215">
      <x:c r="A215" s="14" t="n">
        <x:v>1</x:v>
      </x:c>
      <x:c r="B215" s="14" t="n">
        <x:v>1</x:v>
      </x:c>
      <x:c r="C215" s="14" t="n">
        <x:v>7291</x:v>
      </x:c>
      <x:c r="D215" s="14" t="n">
        <x:v>1012</x:v>
      </x:c>
      <x:c r="E215" s="14" t="n">
        <x:v>2062</x:v>
      </x:c>
      <x:c r="F215" s="14" t="n">
        <x:v>1291</x:v>
      </x:c>
      <x:c r="G215" s="14" t="n">
        <x:v>240</x:v>
      </x:c>
      <x:c r="H215" s="14" t="n">
        <x:v>1775</x:v>
      </x:c>
    </x:row>
    <x:row r="216">
      <x:c r="A216" s="14" t="n">
        <x:v>1</x:v>
      </x:c>
      <x:c r="B216" s="14" t="n">
        <x:v>1</x:v>
      </x:c>
      <x:c r="C216" s="14" t="n">
        <x:v>3317</x:v>
      </x:c>
      <x:c r="D216" s="14" t="n">
        <x:v>6602</x:v>
      </x:c>
      <x:c r="E216" s="14" t="n">
        <x:v>6861</x:v>
      </x:c>
      <x:c r="F216" s="14" t="n">
        <x:v>1329</x:v>
      </x:c>
      <x:c r="G216" s="14" t="n">
        <x:v>3961</x:v>
      </x:c>
      <x:c r="H216" s="14" t="n">
        <x:v>1215</x:v>
      </x:c>
    </x:row>
    <x:row r="217">
      <x:c r="A217" s="14" t="n">
        <x:v>2</x:v>
      </x:c>
      <x:c r="B217" s="14" t="n">
        <x:v>1</x:v>
      </x:c>
      <x:c r="C217" s="14" t="n">
        <x:v>2362</x:v>
      </x:c>
      <x:c r="D217" s="14" t="n">
        <x:v>6551</x:v>
      </x:c>
      <x:c r="E217" s="14" t="n">
        <x:v>11364</x:v>
      </x:c>
      <x:c r="F217" s="14" t="n">
        <x:v>913</x:v>
      </x:c>
      <x:c r="G217" s="14" t="n">
        <x:v>5957</x:v>
      </x:c>
      <x:c r="H217" s="14" t="n">
        <x:v>791</x:v>
      </x:c>
    </x:row>
    <x:row r="218">
      <x:c r="A218" s="14" t="n">
        <x:v>1</x:v>
      </x:c>
      <x:c r="B218" s="14" t="n">
        <x:v>1</x:v>
      </x:c>
      <x:c r="C218" s="14" t="n">
        <x:v>2806</x:v>
      </x:c>
      <x:c r="D218" s="14" t="n">
        <x:v>10765</x:v>
      </x:c>
      <x:c r="E218" s="14" t="n">
        <x:v>15538</x:v>
      </x:c>
      <x:c r="F218" s="14" t="n">
        <x:v>1374</x:v>
      </x:c>
      <x:c r="G218" s="14" t="n">
        <x:v>5828</x:v>
      </x:c>
      <x:c r="H218" s="14" t="n">
        <x:v>2388</x:v>
      </x:c>
    </x:row>
    <x:row r="219">
      <x:c r="A219" s="14" t="n">
        <x:v>2</x:v>
      </x:c>
      <x:c r="B219" s="14" t="n">
        <x:v>1</x:v>
      </x:c>
      <x:c r="C219" s="14" t="n">
        <x:v>2532</x:v>
      </x:c>
      <x:c r="D219" s="14" t="n">
        <x:v>16599</x:v>
      </x:c>
      <x:c r="E219" s="14" t="n">
        <x:v>36486</x:v>
      </x:c>
      <x:c r="F219" s="14" t="n">
        <x:v>179</x:v>
      </x:c>
      <x:c r="G219" s="14" t="n">
        <x:v>13308</x:v>
      </x:c>
      <x:c r="H219" s="14" t="n">
        <x:v>674</x:v>
      </x:c>
    </x:row>
    <x:row r="220">
      <x:c r="A220" s="14" t="n">
        <x:v>1</x:v>
      </x:c>
      <x:c r="B220" s="14" t="n">
        <x:v>1</x:v>
      </x:c>
      <x:c r="C220" s="14" t="n">
        <x:v>18044</x:v>
      </x:c>
      <x:c r="D220" s="14" t="n">
        <x:v>1475</x:v>
      </x:c>
      <x:c r="E220" s="14" t="n">
        <x:v>2046</x:v>
      </x:c>
      <x:c r="F220" s="14" t="n">
        <x:v>2532</x:v>
      </x:c>
      <x:c r="G220" s="14" t="n">
        <x:v>130</x:v>
      </x:c>
      <x:c r="H220" s="14" t="n">
        <x:v>1158</x:v>
      </x:c>
    </x:row>
    <x:row r="221">
      <x:c r="A221" s="14" t="n">
        <x:v>2</x:v>
      </x:c>
      <x:c r="B221" s="14" t="n">
        <x:v>1</x:v>
      </x:c>
      <x:c r="C221" s="14" t="n">
        <x:v>18</x:v>
      </x:c>
      <x:c r="D221" s="14" t="n">
        <x:v>7504</x:v>
      </x:c>
      <x:c r="E221" s="14" t="n">
        <x:v>15205</x:v>
      </x:c>
      <x:c r="F221" s="14" t="n">
        <x:v>1285</x:v>
      </x:c>
      <x:c r="G221" s="14" t="n">
        <x:v>4797</x:v>
      </x:c>
      <x:c r="H221" s="14" t="n">
        <x:v>6372</x:v>
      </x:c>
    </x:row>
    <x:row r="222">
      <x:c r="A222" s="14" t="n">
        <x:v>1</x:v>
      </x:c>
      <x:c r="B222" s="14" t="n">
        <x:v>1</x:v>
      </x:c>
      <x:c r="C222" s="14" t="n">
        <x:v>4155</x:v>
      </x:c>
      <x:c r="D222" s="14" t="n">
        <x:v>367</x:v>
      </x:c>
      <x:c r="E222" s="14" t="n">
        <x:v>1390</x:v>
      </x:c>
      <x:c r="F222" s="14" t="n">
        <x:v>2306</x:v>
      </x:c>
      <x:c r="G222" s="14" t="n">
        <x:v>86</x:v>
      </x:c>
      <x:c r="H222" s="14" t="n">
        <x:v>130</x:v>
      </x:c>
    </x:row>
    <x:row r="223">
      <x:c r="A223" s="14" t="n">
        <x:v>1</x:v>
      </x:c>
      <x:c r="B223" s="14" t="n">
        <x:v>1</x:v>
      </x:c>
      <x:c r="C223" s="14" t="n">
        <x:v>14755</x:v>
      </x:c>
      <x:c r="D223" s="14" t="n">
        <x:v>899</x:v>
      </x:c>
      <x:c r="E223" s="14" t="n">
        <x:v>1382</x:v>
      </x:c>
      <x:c r="F223" s="14" t="n">
        <x:v>1765</x:v>
      </x:c>
      <x:c r="G223" s="14" t="n">
        <x:v>56</x:v>
      </x:c>
      <x:c r="H223" s="14" t="n">
        <x:v>749</x:v>
      </x:c>
    </x:row>
    <x:row r="224">
      <x:c r="A224" s="14" t="n">
        <x:v>1</x:v>
      </x:c>
      <x:c r="B224" s="14" t="n">
        <x:v>1</x:v>
      </x:c>
      <x:c r="C224" s="14" t="n">
        <x:v>5396</x:v>
      </x:c>
      <x:c r="D224" s="14" t="n">
        <x:v>7503</x:v>
      </x:c>
      <x:c r="E224" s="14" t="n">
        <x:v>10646</x:v>
      </x:c>
      <x:c r="F224" s="14" t="n">
        <x:v>91</x:v>
      </x:c>
      <x:c r="G224" s="14" t="n">
        <x:v>4167</x:v>
      </x:c>
      <x:c r="H224" s="14" t="n">
        <x:v>239</x:v>
      </x:c>
    </x:row>
    <x:row r="225">
      <x:c r="A225" s="14" t="n">
        <x:v>1</x:v>
      </x:c>
      <x:c r="B225" s="14" t="n">
        <x:v>1</x:v>
      </x:c>
      <x:c r="C225" s="14" t="n">
        <x:v>5041</x:v>
      </x:c>
      <x:c r="D225" s="14" t="n">
        <x:v>1115</x:v>
      </x:c>
      <x:c r="E225" s="14" t="n">
        <x:v>2856</x:v>
      </x:c>
      <x:c r="F225" s="14" t="n">
        <x:v>7496</x:v>
      </x:c>
      <x:c r="G225" s="14" t="n">
        <x:v>256</x:v>
      </x:c>
      <x:c r="H225" s="14" t="n">
        <x:v>375</x:v>
      </x:c>
    </x:row>
    <x:row r="226">
      <x:c r="A226" s="14" t="n">
        <x:v>2</x:v>
      </x:c>
      <x:c r="B226" s="14" t="n">
        <x:v>1</x:v>
      </x:c>
      <x:c r="C226" s="14" t="n">
        <x:v>2790</x:v>
      </x:c>
      <x:c r="D226" s="14" t="n">
        <x:v>2527</x:v>
      </x:c>
      <x:c r="E226" s="14" t="n">
        <x:v>5265</x:v>
      </x:c>
      <x:c r="F226" s="14" t="n">
        <x:v>5612</x:v>
      </x:c>
      <x:c r="G226" s="14" t="n">
        <x:v>788</x:v>
      </x:c>
      <x:c r="H226" s="14" t="n">
        <x:v>1360</x:v>
      </x:c>
    </x:row>
    <x:row r="227">
      <x:c r="A227" s="14" t="n">
        <x:v>1</x:v>
      </x:c>
      <x:c r="B227" s="14" t="n">
        <x:v>1</x:v>
      </x:c>
      <x:c r="C227" s="14" t="n">
        <x:v>7274</x:v>
      </x:c>
      <x:c r="D227" s="14" t="n">
        <x:v>659</x:v>
      </x:c>
      <x:c r="E227" s="14" t="n">
        <x:v>1499</x:v>
      </x:c>
      <x:c r="F227" s="14" t="n">
        <x:v>784</x:v>
      </x:c>
      <x:c r="G227" s="14" t="n">
        <x:v>70</x:v>
      </x:c>
      <x:c r="H227" s="14" t="n">
        <x:v>659</x:v>
      </x:c>
    </x:row>
    <x:row r="228">
      <x:c r="A228" s="14" t="n">
        <x:v>1</x:v>
      </x:c>
      <x:c r="B228" s="14" t="n">
        <x:v>1</x:v>
      </x:c>
      <x:c r="C228" s="14" t="n">
        <x:v>12680</x:v>
      </x:c>
      <x:c r="D228" s="14" t="n">
        <x:v>3243</x:v>
      </x:c>
      <x:c r="E228" s="14" t="n">
        <x:v>4157</x:v>
      </x:c>
      <x:c r="F228" s="14" t="n">
        <x:v>660</x:v>
      </x:c>
      <x:c r="G228" s="14" t="n">
        <x:v>761</x:v>
      </x:c>
      <x:c r="H228" s="14" t="n">
        <x:v>786</x:v>
      </x:c>
    </x:row>
    <x:row r="229">
      <x:c r="A229" s="14" t="n">
        <x:v>2</x:v>
      </x:c>
      <x:c r="B229" s="14" t="n">
        <x:v>1</x:v>
      </x:c>
      <x:c r="C229" s="14" t="n">
        <x:v>20782</x:v>
      </x:c>
      <x:c r="D229" s="14" t="n">
        <x:v>5921</x:v>
      </x:c>
      <x:c r="E229" s="14" t="n">
        <x:v>9212</x:v>
      </x:c>
      <x:c r="F229" s="14" t="n">
        <x:v>1759</x:v>
      </x:c>
      <x:c r="G229" s="14" t="n">
        <x:v>2568</x:v>
      </x:c>
      <x:c r="H229" s="14" t="n">
        <x:v>1553</x:v>
      </x:c>
    </x:row>
    <x:row r="230">
      <x:c r="A230" s="14" t="n">
        <x:v>1</x:v>
      </x:c>
      <x:c r="B230" s="14" t="n">
        <x:v>1</x:v>
      </x:c>
      <x:c r="C230" s="14" t="n">
        <x:v>4042</x:v>
      </x:c>
      <x:c r="D230" s="14" t="n">
        <x:v>2204</x:v>
      </x:c>
      <x:c r="E230" s="14" t="n">
        <x:v>1563</x:v>
      </x:c>
      <x:c r="F230" s="14" t="n">
        <x:v>2286</x:v>
      </x:c>
      <x:c r="G230" s="14" t="n">
        <x:v>263</x:v>
      </x:c>
      <x:c r="H230" s="14" t="n">
        <x:v>689</x:v>
      </x:c>
    </x:row>
    <x:row r="231">
      <x:c r="A231" s="14" t="n">
        <x:v>1</x:v>
      </x:c>
      <x:c r="B231" s="14" t="n">
        <x:v>1</x:v>
      </x:c>
      <x:c r="C231" s="14" t="n">
        <x:v>1869</x:v>
      </x:c>
      <x:c r="D231" s="14" t="n">
        <x:v>577</x:v>
      </x:c>
      <x:c r="E231" s="14" t="n">
        <x:v>572</x:v>
      </x:c>
      <x:c r="F231" s="14" t="n">
        <x:v>950</x:v>
      </x:c>
      <x:c r="G231" s="14" t="n">
        <x:v>4762</x:v>
      </x:c>
      <x:c r="H231" s="14" t="n">
        <x:v>203</x:v>
      </x:c>
    </x:row>
    <x:row r="232">
      <x:c r="A232" s="14" t="n">
        <x:v>1</x:v>
      </x:c>
      <x:c r="B232" s="14" t="n">
        <x:v>1</x:v>
      </x:c>
      <x:c r="C232" s="14" t="n">
        <x:v>8656</x:v>
      </x:c>
      <x:c r="D232" s="14" t="n">
        <x:v>2746</x:v>
      </x:c>
      <x:c r="E232" s="14" t="n">
        <x:v>2501</x:v>
      </x:c>
      <x:c r="F232" s="14" t="n">
        <x:v>6845</x:v>
      </x:c>
      <x:c r="G232" s="14" t="n">
        <x:v>694</x:v>
      </x:c>
      <x:c r="H232" s="14" t="n">
        <x:v>980</x:v>
      </x:c>
    </x:row>
    <x:row r="233">
      <x:c r="A233" s="14" t="n">
        <x:v>2</x:v>
      </x:c>
      <x:c r="B233" s="14" t="n">
        <x:v>1</x:v>
      </x:c>
      <x:c r="C233" s="14" t="n">
        <x:v>11072</x:v>
      </x:c>
      <x:c r="D233" s="14" t="n">
        <x:v>5989</x:v>
      </x:c>
      <x:c r="E233" s="14" t="n">
        <x:v>5615</x:v>
      </x:c>
      <x:c r="F233" s="14" t="n">
        <x:v>8321</x:v>
      </x:c>
      <x:c r="G233" s="14" t="n">
        <x:v>955</x:v>
      </x:c>
      <x:c r="H233" s="14" t="n">
        <x:v>2137</x:v>
      </x:c>
    </x:row>
    <x:row r="234">
      <x:c r="A234" s="14" t="n">
        <x:v>1</x:v>
      </x:c>
      <x:c r="B234" s="14" t="n">
        <x:v>1</x:v>
      </x:c>
      <x:c r="C234" s="14" t="n">
        <x:v>2344</x:v>
      </x:c>
      <x:c r="D234" s="14" t="n">
        <x:v>10678</x:v>
      </x:c>
      <x:c r="E234" s="14" t="n">
        <x:v>3828</x:v>
      </x:c>
      <x:c r="F234" s="14" t="n">
        <x:v>1439</x:v>
      </x:c>
      <x:c r="G234" s="14" t="n">
        <x:v>1566</x:v>
      </x:c>
      <x:c r="H234" s="14" t="n">
        <x:v>490</x:v>
      </x:c>
    </x:row>
    <x:row r="235">
      <x:c r="A235" s="14" t="n">
        <x:v>1</x:v>
      </x:c>
      <x:c r="B235" s="14" t="n">
        <x:v>1</x:v>
      </x:c>
      <x:c r="C235" s="14" t="n">
        <x:v>25962</x:v>
      </x:c>
      <x:c r="D235" s="14" t="n">
        <x:v>1780</x:v>
      </x:c>
      <x:c r="E235" s="14" t="n">
        <x:v>3838</x:v>
      </x:c>
      <x:c r="F235" s="14" t="n">
        <x:v>638</x:v>
      </x:c>
      <x:c r="G235" s="14" t="n">
        <x:v>284</x:v>
      </x:c>
      <x:c r="H235" s="14" t="n">
        <x:v>834</x:v>
      </x:c>
    </x:row>
    <x:row r="236">
      <x:c r="A236" s="14" t="n">
        <x:v>1</x:v>
      </x:c>
      <x:c r="B236" s="14" t="n">
        <x:v>1</x:v>
      </x:c>
      <x:c r="C236" s="14" t="n">
        <x:v>964</x:v>
      </x:c>
      <x:c r="D236" s="14" t="n">
        <x:v>4984</x:v>
      </x:c>
      <x:c r="E236" s="14" t="n">
        <x:v>3316</x:v>
      </x:c>
      <x:c r="F236" s="14" t="n">
        <x:v>937</x:v>
      </x:c>
      <x:c r="G236" s="14" t="n">
        <x:v>409</x:v>
      </x:c>
      <x:c r="H236" s="14" t="n">
        <x:v>7</x:v>
      </x:c>
    </x:row>
    <x:row r="237">
      <x:c r="A237" s="14" t="n">
        <x:v>1</x:v>
      </x:c>
      <x:c r="B237" s="14" t="n">
        <x:v>1</x:v>
      </x:c>
      <x:c r="C237" s="14" t="n">
        <x:v>15603</x:v>
      </x:c>
      <x:c r="D237" s="14" t="n">
        <x:v>2703</x:v>
      </x:c>
      <x:c r="E237" s="14" t="n">
        <x:v>3833</x:v>
      </x:c>
      <x:c r="F237" s="14" t="n">
        <x:v>4260</x:v>
      </x:c>
      <x:c r="G237" s="14" t="n">
        <x:v>325</x:v>
      </x:c>
      <x:c r="H237" s="14" t="n">
        <x:v>2563</x:v>
      </x:c>
    </x:row>
    <x:row r="238">
      <x:c r="A238" s="14" t="n">
        <x:v>1</x:v>
      </x:c>
      <x:c r="B238" s="14" t="n">
        <x:v>1</x:v>
      </x:c>
      <x:c r="C238" s="14" t="n">
        <x:v>1838</x:v>
      </x:c>
      <x:c r="D238" s="14" t="n">
        <x:v>6380</x:v>
      </x:c>
      <x:c r="E238" s="14" t="n">
        <x:v>2824</x:v>
      </x:c>
      <x:c r="F238" s="14" t="n">
        <x:v>1218</x:v>
      </x:c>
      <x:c r="G238" s="14" t="n">
        <x:v>1216</x:v>
      </x:c>
      <x:c r="H238" s="14" t="n">
        <x:v>295</x:v>
      </x:c>
    </x:row>
    <x:row r="239">
      <x:c r="A239" s="14" t="n">
        <x:v>1</x:v>
      </x:c>
      <x:c r="B239" s="14" t="n">
        <x:v>1</x:v>
      </x:c>
      <x:c r="C239" s="14" t="n">
        <x:v>8635</x:v>
      </x:c>
      <x:c r="D239" s="14" t="n">
        <x:v>820</x:v>
      </x:c>
      <x:c r="E239" s="14" t="n">
        <x:v>3047</x:v>
      </x:c>
      <x:c r="F239" s="14" t="n">
        <x:v>2312</x:v>
      </x:c>
      <x:c r="G239" s="14" t="n">
        <x:v>415</x:v>
      </x:c>
      <x:c r="H239" s="14" t="n">
        <x:v>225</x:v>
      </x:c>
    </x:row>
    <x:row r="240">
      <x:c r="A240" s="14" t="n">
        <x:v>1</x:v>
      </x:c>
      <x:c r="B240" s="14" t="n">
        <x:v>1</x:v>
      </x:c>
      <x:c r="C240" s="14" t="n">
        <x:v>18692</x:v>
      </x:c>
      <x:c r="D240" s="14" t="n">
        <x:v>3838</x:v>
      </x:c>
      <x:c r="E240" s="14" t="n">
        <x:v>593</x:v>
      </x:c>
      <x:c r="F240" s="14" t="n">
        <x:v>4634</x:v>
      </x:c>
      <x:c r="G240" s="14" t="n">
        <x:v>28</x:v>
      </x:c>
      <x:c r="H240" s="14" t="n">
        <x:v>1215</x:v>
      </x:c>
    </x:row>
    <x:row r="241">
      <x:c r="A241" s="14" t="n">
        <x:v>1</x:v>
      </x:c>
      <x:c r="B241" s="14" t="n">
        <x:v>1</x:v>
      </x:c>
      <x:c r="C241" s="14" t="n">
        <x:v>7363</x:v>
      </x:c>
      <x:c r="D241" s="14" t="n">
        <x:v>475</x:v>
      </x:c>
      <x:c r="E241" s="14" t="n">
        <x:v>585</x:v>
      </x:c>
      <x:c r="F241" s="14" t="n">
        <x:v>1112</x:v>
      </x:c>
      <x:c r="G241" s="14" t="n">
        <x:v>72</x:v>
      </x:c>
      <x:c r="H241" s="14" t="n">
        <x:v>216</x:v>
      </x:c>
    </x:row>
    <x:row r="242">
      <x:c r="A242" s="14" t="n">
        <x:v>1</x:v>
      </x:c>
      <x:c r="B242" s="14" t="n">
        <x:v>1</x:v>
      </x:c>
      <x:c r="C242" s="14" t="n">
        <x:v>47493</x:v>
      </x:c>
      <x:c r="D242" s="14" t="n">
        <x:v>2567</x:v>
      </x:c>
      <x:c r="E242" s="14" t="n">
        <x:v>3779</x:v>
      </x:c>
      <x:c r="F242" s="14" t="n">
        <x:v>5243</x:v>
      </x:c>
      <x:c r="G242" s="14" t="n">
        <x:v>828</x:v>
      </x:c>
      <x:c r="H242" s="14" t="n">
        <x:v>2253</x:v>
      </x:c>
    </x:row>
    <x:row r="243">
      <x:c r="A243" s="14" t="n">
        <x:v>1</x:v>
      </x:c>
      <x:c r="B243" s="14" t="n">
        <x:v>1</x:v>
      </x:c>
      <x:c r="C243" s="14" t="n">
        <x:v>22096</x:v>
      </x:c>
      <x:c r="D243" s="14" t="n">
        <x:v>3575</x:v>
      </x:c>
      <x:c r="E243" s="14" t="n">
        <x:v>7041</x:v>
      </x:c>
      <x:c r="F243" s="14" t="n">
        <x:v>11422</x:v>
      </x:c>
      <x:c r="G243" s="14" t="n">
        <x:v>343</x:v>
      </x:c>
      <x:c r="H243" s="14" t="n">
        <x:v>2564</x:v>
      </x:c>
    </x:row>
    <x:row r="244">
      <x:c r="A244" s="14" t="n">
        <x:v>1</x:v>
      </x:c>
      <x:c r="B244" s="14" t="n">
        <x:v>1</x:v>
      </x:c>
      <x:c r="C244" s="14" t="n">
        <x:v>24929</x:v>
      </x:c>
      <x:c r="D244" s="14" t="n">
        <x:v>1801</x:v>
      </x:c>
      <x:c r="E244" s="14" t="n">
        <x:v>2475</x:v>
      </x:c>
      <x:c r="F244" s="14" t="n">
        <x:v>2216</x:v>
      </x:c>
      <x:c r="G244" s="14" t="n">
        <x:v>412</x:v>
      </x:c>
      <x:c r="H244" s="14" t="n">
        <x:v>1047</x:v>
      </x:c>
    </x:row>
    <x:row r="245">
      <x:c r="A245" s="14" t="n">
        <x:v>1</x:v>
      </x:c>
      <x:c r="B245" s="14" t="n">
        <x:v>1</x:v>
      </x:c>
      <x:c r="C245" s="14" t="n">
        <x:v>18226</x:v>
      </x:c>
      <x:c r="D245" s="14" t="n">
        <x:v>659</x:v>
      </x:c>
      <x:c r="E245" s="14" t="n">
        <x:v>2914</x:v>
      </x:c>
      <x:c r="F245" s="14" t="n">
        <x:v>3752</x:v>
      </x:c>
      <x:c r="G245" s="14" t="n">
        <x:v>586</x:v>
      </x:c>
      <x:c r="H245" s="14" t="n">
        <x:v>578</x:v>
      </x:c>
    </x:row>
    <x:row r="246">
      <x:c r="A246" s="14" t="n">
        <x:v>1</x:v>
      </x:c>
      <x:c r="B246" s="14" t="n">
        <x:v>1</x:v>
      </x:c>
      <x:c r="C246" s="14" t="n">
        <x:v>11210</x:v>
      </x:c>
      <x:c r="D246" s="14" t="n">
        <x:v>3576</x:v>
      </x:c>
      <x:c r="E246" s="14" t="n">
        <x:v>5119</x:v>
      </x:c>
      <x:c r="F246" s="14" t="n">
        <x:v>561</x:v>
      </x:c>
      <x:c r="G246" s="14" t="n">
        <x:v>1682</x:v>
      </x:c>
      <x:c r="H246" s="14" t="n">
        <x:v>2398</x:v>
      </x:c>
    </x:row>
    <x:row r="247">
      <x:c r="A247" s="14" t="n">
        <x:v>1</x:v>
      </x:c>
      <x:c r="B247" s="14" t="n">
        <x:v>1</x:v>
      </x:c>
      <x:c r="C247" s="14" t="n">
        <x:v>6202</x:v>
      </x:c>
      <x:c r="D247" s="14" t="n">
        <x:v>7775</x:v>
      </x:c>
      <x:c r="E247" s="14" t="n">
        <x:v>10817</x:v>
      </x:c>
      <x:c r="F247" s="14" t="n">
        <x:v>1183</x:v>
      </x:c>
      <x:c r="G247" s="14" t="n">
        <x:v>3143</x:v>
      </x:c>
      <x:c r="H247" s="14" t="n">
        <x:v>1970</x:v>
      </x:c>
    </x:row>
    <x:row r="248">
      <x:c r="A248" s="14" t="n">
        <x:v>2</x:v>
      </x:c>
      <x:c r="B248" s="14" t="n">
        <x:v>1</x:v>
      </x:c>
      <x:c r="C248" s="14" t="n">
        <x:v>3062</x:v>
      </x:c>
      <x:c r="D248" s="14" t="n">
        <x:v>6154</x:v>
      </x:c>
      <x:c r="E248" s="14" t="n">
        <x:v>13916</x:v>
      </x:c>
      <x:c r="F248" s="14" t="n">
        <x:v>230</x:v>
      </x:c>
      <x:c r="G248" s="14" t="n">
        <x:v>8933</x:v>
      </x:c>
      <x:c r="H248" s="14" t="n">
        <x:v>2784</x:v>
      </x:c>
    </x:row>
    <x:row r="249">
      <x:c r="A249" s="14" t="n">
        <x:v>1</x:v>
      </x:c>
      <x:c r="B249" s="14" t="n">
        <x:v>1</x:v>
      </x:c>
      <x:c r="C249" s="14" t="n">
        <x:v>8885</x:v>
      </x:c>
      <x:c r="D249" s="14" t="n">
        <x:v>2428</x:v>
      </x:c>
      <x:c r="E249" s="14" t="n">
        <x:v>1777</x:v>
      </x:c>
      <x:c r="F249" s="14" t="n">
        <x:v>1777</x:v>
      </x:c>
      <x:c r="G249" s="14" t="n">
        <x:v>430</x:v>
      </x:c>
      <x:c r="H249" s="14" t="n">
        <x:v>610</x:v>
      </x:c>
    </x:row>
    <x:row r="250">
      <x:c r="A250" s="14" t="n">
        <x:v>1</x:v>
      </x:c>
      <x:c r="B250" s="14" t="n">
        <x:v>1</x:v>
      </x:c>
      <x:c r="C250" s="14" t="n">
        <x:v>13569</x:v>
      </x:c>
      <x:c r="D250" s="14" t="n">
        <x:v>346</x:v>
      </x:c>
      <x:c r="E250" s="14" t="n">
        <x:v>489</x:v>
      </x:c>
      <x:c r="F250" s="14" t="n">
        <x:v>2077</x:v>
      </x:c>
      <x:c r="G250" s="14" t="n">
        <x:v>44</x:v>
      </x:c>
      <x:c r="H250" s="14" t="n">
        <x:v>659</x:v>
      </x:c>
    </x:row>
    <x:row r="251">
      <x:c r="A251" s="14" t="n">
        <x:v>1</x:v>
      </x:c>
      <x:c r="B251" s="14" t="n">
        <x:v>1</x:v>
      </x:c>
      <x:c r="C251" s="14" t="n">
        <x:v>15671</x:v>
      </x:c>
      <x:c r="D251" s="14" t="n">
        <x:v>5279</x:v>
      </x:c>
      <x:c r="E251" s="14" t="n">
        <x:v>2406</x:v>
      </x:c>
      <x:c r="F251" s="14" t="n">
        <x:v>559</x:v>
      </x:c>
      <x:c r="G251" s="14" t="n">
        <x:v>562</x:v>
      </x:c>
      <x:c r="H251" s="14" t="n">
        <x:v>572</x:v>
      </x:c>
    </x:row>
    <x:row r="252">
      <x:c r="A252" s="14" t="n">
        <x:v>1</x:v>
      </x:c>
      <x:c r="B252" s="14" t="n">
        <x:v>1</x:v>
      </x:c>
      <x:c r="C252" s="14" t="n">
        <x:v>8040</x:v>
      </x:c>
      <x:c r="D252" s="14" t="n">
        <x:v>3795</x:v>
      </x:c>
      <x:c r="E252" s="14" t="n">
        <x:v>2070</x:v>
      </x:c>
      <x:c r="F252" s="14" t="n">
        <x:v>6340</x:v>
      </x:c>
      <x:c r="G252" s="14" t="n">
        <x:v>918</x:v>
      </x:c>
      <x:c r="H252" s="14" t="n">
        <x:v>291</x:v>
      </x:c>
    </x:row>
    <x:row r="253">
      <x:c r="A253" s="14" t="n">
        <x:v>1</x:v>
      </x:c>
      <x:c r="B253" s="14" t="n">
        <x:v>1</x:v>
      </x:c>
      <x:c r="C253" s="14" t="n">
        <x:v>3191</x:v>
      </x:c>
      <x:c r="D253" s="14" t="n">
        <x:v>1993</x:v>
      </x:c>
      <x:c r="E253" s="14" t="n">
        <x:v>1799</x:v>
      </x:c>
      <x:c r="F253" s="14" t="n">
        <x:v>1730</x:v>
      </x:c>
      <x:c r="G253" s="14" t="n">
        <x:v>234</x:v>
      </x:c>
      <x:c r="H253" s="14" t="n">
        <x:v>710</x:v>
      </x:c>
    </x:row>
    <x:row r="254">
      <x:c r="A254" s="14" t="n">
        <x:v>2</x:v>
      </x:c>
      <x:c r="B254" s="14" t="n">
        <x:v>1</x:v>
      </x:c>
      <x:c r="C254" s="14" t="n">
        <x:v>6134</x:v>
      </x:c>
      <x:c r="D254" s="14" t="n">
        <x:v>23133</x:v>
      </x:c>
      <x:c r="E254" s="14" t="n">
        <x:v>33586</x:v>
      </x:c>
      <x:c r="F254" s="14" t="n">
        <x:v>6746</x:v>
      </x:c>
      <x:c r="G254" s="14" t="n">
        <x:v>18594</x:v>
      </x:c>
      <x:c r="H254" s="14" t="n">
        <x:v>5121</x:v>
      </x:c>
    </x:row>
    <x:row r="255">
      <x:c r="A255" s="14" t="n">
        <x:v>1</x:v>
      </x:c>
      <x:c r="B255" s="14" t="n">
        <x:v>1</x:v>
      </x:c>
      <x:c r="C255" s="14" t="n">
        <x:v>6623</x:v>
      </x:c>
      <x:c r="D255" s="14" t="n">
        <x:v>1860</x:v>
      </x:c>
      <x:c r="E255" s="14" t="n">
        <x:v>4740</x:v>
      </x:c>
      <x:c r="F255" s="14" t="n">
        <x:v>7683</x:v>
      </x:c>
      <x:c r="G255" s="14" t="n">
        <x:v>205</x:v>
      </x:c>
      <x:c r="H255" s="14" t="n">
        <x:v>1693</x:v>
      </x:c>
    </x:row>
    <x:row r="256">
      <x:c r="A256" s="14" t="n">
        <x:v>1</x:v>
      </x:c>
      <x:c r="B256" s="14" t="n">
        <x:v>1</x:v>
      </x:c>
      <x:c r="C256" s="14" t="n">
        <x:v>29526</x:v>
      </x:c>
      <x:c r="D256" s="14" t="n">
        <x:v>7961</x:v>
      </x:c>
      <x:c r="E256" s="14" t="n">
        <x:v>16966</x:v>
      </x:c>
      <x:c r="F256" s="14" t="n">
        <x:v>432</x:v>
      </x:c>
      <x:c r="G256" s="14" t="n">
        <x:v>363</x:v>
      </x:c>
      <x:c r="H256" s="14" t="n">
        <x:v>1391</x:v>
      </x:c>
    </x:row>
    <x:row r="257">
      <x:c r="A257" s="14" t="n">
        <x:v>1</x:v>
      </x:c>
      <x:c r="B257" s="14" t="n">
        <x:v>1</x:v>
      </x:c>
      <x:c r="C257" s="14" t="n">
        <x:v>10379</x:v>
      </x:c>
      <x:c r="D257" s="14" t="n">
        <x:v>17972</x:v>
      </x:c>
      <x:c r="E257" s="14" t="n">
        <x:v>4748</x:v>
      </x:c>
      <x:c r="F257" s="14" t="n">
        <x:v>4686</x:v>
      </x:c>
      <x:c r="G257" s="14" t="n">
        <x:v>1547</x:v>
      </x:c>
      <x:c r="H257" s="14" t="n">
        <x:v>3265</x:v>
      </x:c>
    </x:row>
    <x:row r="258">
      <x:c r="A258" s="14" t="n">
        <x:v>1</x:v>
      </x:c>
      <x:c r="B258" s="14" t="n">
        <x:v>1</x:v>
      </x:c>
      <x:c r="C258" s="14" t="n">
        <x:v>31614</x:v>
      </x:c>
      <x:c r="D258" s="14" t="n">
        <x:v>489</x:v>
      </x:c>
      <x:c r="E258" s="14" t="n">
        <x:v>1495</x:v>
      </x:c>
      <x:c r="F258" s="14" t="n">
        <x:v>3242</x:v>
      </x:c>
      <x:c r="G258" s="14" t="n">
        <x:v>111</x:v>
      </x:c>
      <x:c r="H258" s="14" t="n">
        <x:v>615</x:v>
      </x:c>
    </x:row>
    <x:row r="259">
      <x:c r="A259" s="14" t="n">
        <x:v>1</x:v>
      </x:c>
      <x:c r="B259" s="14" t="n">
        <x:v>1</x:v>
      </x:c>
      <x:c r="C259" s="14" t="n">
        <x:v>11092</x:v>
      </x:c>
      <x:c r="D259" s="14" t="n">
        <x:v>5008</x:v>
      </x:c>
      <x:c r="E259" s="14" t="n">
        <x:v>5249</x:v>
      </x:c>
      <x:c r="F259" s="14" t="n">
        <x:v>453</x:v>
      </x:c>
      <x:c r="G259" s="14" t="n">
        <x:v>392</x:v>
      </x:c>
      <x:c r="H259" s="14" t="n">
        <x:v>373</x:v>
      </x:c>
    </x:row>
    <x:row r="260">
      <x:c r="A260" s="14" t="n">
        <x:v>1</x:v>
      </x:c>
      <x:c r="B260" s="14" t="n">
        <x:v>1</x:v>
      </x:c>
      <x:c r="C260" s="14" t="n">
        <x:v>8475</x:v>
      </x:c>
      <x:c r="D260" s="14" t="n">
        <x:v>1931</x:v>
      </x:c>
      <x:c r="E260" s="14" t="n">
        <x:v>1883</x:v>
      </x:c>
      <x:c r="F260" s="14" t="n">
        <x:v>5004</x:v>
      </x:c>
      <x:c r="G260" s="14" t="n">
        <x:v>3593</x:v>
      </x:c>
      <x:c r="H260" s="14" t="n">
        <x:v>987</x:v>
      </x:c>
    </x:row>
    <x:row r="261">
      <x:c r="A261" s="14" t="n">
        <x:v>1</x:v>
      </x:c>
      <x:c r="B261" s="14" t="n">
        <x:v>1</x:v>
      </x:c>
      <x:c r="C261" s="14" t="n">
        <x:v>56083</x:v>
      </x:c>
      <x:c r="D261" s="14" t="n">
        <x:v>4563</x:v>
      </x:c>
      <x:c r="E261" s="14" t="n">
        <x:v>2124</x:v>
      </x:c>
      <x:c r="F261" s="14" t="n">
        <x:v>6422</x:v>
      </x:c>
      <x:c r="G261" s="14" t="n">
        <x:v>730</x:v>
      </x:c>
      <x:c r="H261" s="14" t="n">
        <x:v>3321</x:v>
      </x:c>
    </x:row>
    <x:row r="262">
      <x:c r="A262" s="14" t="n">
        <x:v>1</x:v>
      </x:c>
      <x:c r="B262" s="14" t="n">
        <x:v>1</x:v>
      </x:c>
      <x:c r="C262" s="14" t="n">
        <x:v>53205</x:v>
      </x:c>
      <x:c r="D262" s="14" t="n">
        <x:v>4959</x:v>
      </x:c>
      <x:c r="E262" s="14" t="n">
        <x:v>7336</x:v>
      </x:c>
      <x:c r="F262" s="14" t="n">
        <x:v>3012</x:v>
      </x:c>
      <x:c r="G262" s="14" t="n">
        <x:v>967</x:v>
      </x:c>
      <x:c r="H262" s="14" t="n">
        <x:v>818</x:v>
      </x:c>
    </x:row>
    <x:row r="263">
      <x:c r="A263" s="14" t="n">
        <x:v>1</x:v>
      </x:c>
      <x:c r="B263" s="14" t="n">
        <x:v>1</x:v>
      </x:c>
      <x:c r="C263" s="14" t="n">
        <x:v>9193</x:v>
      </x:c>
      <x:c r="D263" s="14" t="n">
        <x:v>4885</x:v>
      </x:c>
      <x:c r="E263" s="14" t="n">
        <x:v>2157</x:v>
      </x:c>
      <x:c r="F263" s="14" t="n">
        <x:v>327</x:v>
      </x:c>
      <x:c r="G263" s="14" t="n">
        <x:v>780</x:v>
      </x:c>
      <x:c r="H263" s="14" t="n">
        <x:v>548</x:v>
      </x:c>
    </x:row>
    <x:row r="264">
      <x:c r="A264" s="14" t="n">
        <x:v>1</x:v>
      </x:c>
      <x:c r="B264" s="14" t="n">
        <x:v>1</x:v>
      </x:c>
      <x:c r="C264" s="14" t="n">
        <x:v>7858</x:v>
      </x:c>
      <x:c r="D264" s="14" t="n">
        <x:v>1110</x:v>
      </x:c>
      <x:c r="E264" s="14" t="n">
        <x:v>1094</x:v>
      </x:c>
      <x:c r="F264" s="14" t="n">
        <x:v>6818</x:v>
      </x:c>
      <x:c r="G264" s="14" t="n">
        <x:v>49</x:v>
      </x:c>
      <x:c r="H264" s="14" t="n">
        <x:v>287</x:v>
      </x:c>
    </x:row>
    <x:row r="265">
      <x:c r="A265" s="14" t="n">
        <x:v>1</x:v>
      </x:c>
      <x:c r="B265" s="14" t="n">
        <x:v>1</x:v>
      </x:c>
      <x:c r="C265" s="14" t="n">
        <x:v>23257</x:v>
      </x:c>
      <x:c r="D265" s="14" t="n">
        <x:v>1372</x:v>
      </x:c>
      <x:c r="E265" s="14" t="n">
        <x:v>1677</x:v>
      </x:c>
      <x:c r="F265" s="14" t="n">
        <x:v>982</x:v>
      </x:c>
      <x:c r="G265" s="14" t="n">
        <x:v>429</x:v>
      </x:c>
      <x:c r="H265" s="14" t="n">
        <x:v>655</x:v>
      </x:c>
    </x:row>
    <x:row r="266">
      <x:c r="A266" s="14" t="n">
        <x:v>1</x:v>
      </x:c>
      <x:c r="B266" s="14" t="n">
        <x:v>1</x:v>
      </x:c>
      <x:c r="C266" s="14" t="n">
        <x:v>2153</x:v>
      </x:c>
      <x:c r="D266" s="14" t="n">
        <x:v>1115</x:v>
      </x:c>
      <x:c r="E266" s="14" t="n">
        <x:v>6684</x:v>
      </x:c>
      <x:c r="F266" s="14" t="n">
        <x:v>4324</x:v>
      </x:c>
      <x:c r="G266" s="14" t="n">
        <x:v>2894</x:v>
      </x:c>
      <x:c r="H266" s="14" t="n">
        <x:v>411</x:v>
      </x:c>
    </x:row>
    <x:row r="267">
      <x:c r="A267" s="14" t="n">
        <x:v>2</x:v>
      </x:c>
      <x:c r="B267" s="14" t="n">
        <x:v>1</x:v>
      </x:c>
      <x:c r="C267" s="14" t="n">
        <x:v>1073</x:v>
      </x:c>
      <x:c r="D267" s="14" t="n">
        <x:v>9679</x:v>
      </x:c>
      <x:c r="E267" s="14" t="n">
        <x:v>15445</x:v>
      </x:c>
      <x:c r="F267" s="14" t="n">
        <x:v>61</x:v>
      </x:c>
      <x:c r="G267" s="14" t="n">
        <x:v>5980</x:v>
      </x:c>
      <x:c r="H267" s="14" t="n">
        <x:v>1265</x:v>
      </x:c>
    </x:row>
    <x:row r="268">
      <x:c r="A268" s="14" t="n">
        <x:v>1</x:v>
      </x:c>
      <x:c r="B268" s="14" t="n">
        <x:v>1</x:v>
      </x:c>
      <x:c r="C268" s="14" t="n">
        <x:v>5909</x:v>
      </x:c>
      <x:c r="D268" s="14" t="n">
        <x:v>23527</x:v>
      </x:c>
      <x:c r="E268" s="14" t="n">
        <x:v>13699</x:v>
      </x:c>
      <x:c r="F268" s="14" t="n">
        <x:v>10155</x:v>
      </x:c>
      <x:c r="G268" s="14" t="n">
        <x:v>830</x:v>
      </x:c>
      <x:c r="H268" s="14" t="n">
        <x:v>3636</x:v>
      </x:c>
    </x:row>
    <x:row r="269">
      <x:c r="A269" s="14" t="n">
        <x:v>2</x:v>
      </x:c>
      <x:c r="B269" s="14" t="n">
        <x:v>1</x:v>
      </x:c>
      <x:c r="C269" s="14" t="n">
        <x:v>572</x:v>
      </x:c>
      <x:c r="D269" s="14" t="n">
        <x:v>9763</x:v>
      </x:c>
      <x:c r="E269" s="14" t="n">
        <x:v>22182</x:v>
      </x:c>
      <x:c r="F269" s="14" t="n">
        <x:v>2221</x:v>
      </x:c>
      <x:c r="G269" s="14" t="n">
        <x:v>4882</x:v>
      </x:c>
      <x:c r="H269" s="14" t="n">
        <x:v>2563</x:v>
      </x:c>
    </x:row>
    <x:row r="270">
      <x:c r="A270" s="14" t="n">
        <x:v>1</x:v>
      </x:c>
      <x:c r="B270" s="14" t="n">
        <x:v>1</x:v>
      </x:c>
      <x:c r="C270" s="14" t="n">
        <x:v>20893</x:v>
      </x:c>
      <x:c r="D270" s="14" t="n">
        <x:v>1222</x:v>
      </x:c>
      <x:c r="E270" s="14" t="n">
        <x:v>2576</x:v>
      </x:c>
      <x:c r="F270" s="14" t="n">
        <x:v>3975</x:v>
      </x:c>
      <x:c r="G270" s="14" t="n">
        <x:v>737</x:v>
      </x:c>
      <x:c r="H270" s="14" t="n">
        <x:v>3628</x:v>
      </x:c>
    </x:row>
    <x:row r="271">
      <x:c r="A271" s="14" t="n">
        <x:v>2</x:v>
      </x:c>
      <x:c r="B271" s="14" t="n">
        <x:v>1</x:v>
      </x:c>
      <x:c r="C271" s="14" t="n">
        <x:v>11908</x:v>
      </x:c>
      <x:c r="D271" s="14" t="n">
        <x:v>8053</x:v>
      </x:c>
      <x:c r="E271" s="14" t="n">
        <x:v>19847</x:v>
      </x:c>
      <x:c r="F271" s="14" t="n">
        <x:v>1069</x:v>
      </x:c>
      <x:c r="G271" s="14" t="n">
        <x:v>6374</x:v>
      </x:c>
      <x:c r="H271" s="14" t="n">
        <x:v>698</x:v>
      </x:c>
    </x:row>
    <x:row r="272">
      <x:c r="A272" s="14" t="n">
        <x:v>1</x:v>
      </x:c>
      <x:c r="B272" s="14" t="n">
        <x:v>1</x:v>
      </x:c>
      <x:c r="C272" s="14" t="n">
        <x:v>15218</x:v>
      </x:c>
      <x:c r="D272" s="14" t="n">
        <x:v>258</x:v>
      </x:c>
      <x:c r="E272" s="14" t="n">
        <x:v>1138</x:v>
      </x:c>
      <x:c r="F272" s="14" t="n">
        <x:v>2516</x:v>
      </x:c>
      <x:c r="G272" s="14" t="n">
        <x:v>333</x:v>
      </x:c>
      <x:c r="H272" s="14" t="n">
        <x:v>204</x:v>
      </x:c>
    </x:row>
    <x:row r="273">
      <x:c r="A273" s="14" t="n">
        <x:v>1</x:v>
      </x:c>
      <x:c r="B273" s="14" t="n">
        <x:v>1</x:v>
      </x:c>
      <x:c r="C273" s="14" t="n">
        <x:v>4720</x:v>
      </x:c>
      <x:c r="D273" s="14" t="n">
        <x:v>1032</x:v>
      </x:c>
      <x:c r="E273" s="14" t="n">
        <x:v>975</x:v>
      </x:c>
      <x:c r="F273" s="14" t="n">
        <x:v>5500</x:v>
      </x:c>
      <x:c r="G273" s="14" t="n">
        <x:v>197</x:v>
      </x:c>
      <x:c r="H273" s="14" t="n">
        <x:v>56</x:v>
      </x:c>
    </x:row>
    <x:row r="274">
      <x:c r="A274" s="14" t="n">
        <x:v>1</x:v>
      </x:c>
      <x:c r="B274" s="14" t="n">
        <x:v>1</x:v>
      </x:c>
      <x:c r="C274" s="14" t="n">
        <x:v>2083</x:v>
      </x:c>
      <x:c r="D274" s="14" t="n">
        <x:v>5007</x:v>
      </x:c>
      <x:c r="E274" s="14" t="n">
        <x:v>1563</x:v>
      </x:c>
      <x:c r="F274" s="14" t="n">
        <x:v>1120</x:v>
      </x:c>
      <x:c r="G274" s="14" t="n">
        <x:v>147</x:v>
      </x:c>
      <x:c r="H274" s="14" t="n">
        <x:v>1550</x:v>
      </x:c>
    </x:row>
    <x:row r="275">
      <x:c r="A275" s="14" t="n">
        <x:v>1</x:v>
      </x:c>
      <x:c r="B275" s="14" t="n">
        <x:v>1</x:v>
      </x:c>
      <x:c r="C275" s="14" t="n">
        <x:v>514</x:v>
      </x:c>
      <x:c r="D275" s="14" t="n">
        <x:v>8323</x:v>
      </x:c>
      <x:c r="E275" s="14" t="n">
        <x:v>6869</x:v>
      </x:c>
      <x:c r="F275" s="14" t="n">
        <x:v>529</x:v>
      </x:c>
      <x:c r="G275" s="14" t="n">
        <x:v>93</x:v>
      </x:c>
      <x:c r="H275" s="14" t="n">
        <x:v>1040</x:v>
      </x:c>
    </x:row>
    <x:row r="276">
      <x:c r="A276" s="14" t="n">
        <x:v>1</x:v>
      </x:c>
      <x:c r="B276" s="14" t="n">
        <x:v>3</x:v>
      </x:c>
      <x:c r="C276" s="14" t="n">
        <x:v>36817</x:v>
      </x:c>
      <x:c r="D276" s="14" t="n">
        <x:v>3045</x:v>
      </x:c>
      <x:c r="E276" s="14" t="n">
        <x:v>1493</x:v>
      </x:c>
      <x:c r="F276" s="14" t="n">
        <x:v>4802</x:v>
      </x:c>
      <x:c r="G276" s="14" t="n">
        <x:v>210</x:v>
      </x:c>
      <x:c r="H276" s="14" t="n">
        <x:v>1824</x:v>
      </x:c>
    </x:row>
    <x:row r="277">
      <x:c r="A277" s="14" t="n">
        <x:v>1</x:v>
      </x:c>
      <x:c r="B277" s="14" t="n">
        <x:v>3</x:v>
      </x:c>
      <x:c r="C277" s="14" t="n">
        <x:v>894</x:v>
      </x:c>
      <x:c r="D277" s="14" t="n">
        <x:v>1703</x:v>
      </x:c>
      <x:c r="E277" s="14" t="n">
        <x:v>1841</x:v>
      </x:c>
      <x:c r="F277" s="14" t="n">
        <x:v>744</x:v>
      </x:c>
      <x:c r="G277" s="14" t="n">
        <x:v>759</x:v>
      </x:c>
      <x:c r="H277" s="14" t="n">
        <x:v>1153</x:v>
      </x:c>
    </x:row>
    <x:row r="278">
      <x:c r="A278" s="14" t="n">
        <x:v>1</x:v>
      </x:c>
      <x:c r="B278" s="14" t="n">
        <x:v>3</x:v>
      </x:c>
      <x:c r="C278" s="14" t="n">
        <x:v>680</x:v>
      </x:c>
      <x:c r="D278" s="14" t="n">
        <x:v>1610</x:v>
      </x:c>
      <x:c r="E278" s="14" t="n">
        <x:v>223</x:v>
      </x:c>
      <x:c r="F278" s="14" t="n">
        <x:v>862</x:v>
      </x:c>
      <x:c r="G278" s="14" t="n">
        <x:v>96</x:v>
      </x:c>
      <x:c r="H278" s="14" t="n">
        <x:v>379</x:v>
      </x:c>
    </x:row>
    <x:row r="279">
      <x:c r="A279" s="14" t="n">
        <x:v>1</x:v>
      </x:c>
      <x:c r="B279" s="14" t="n">
        <x:v>3</x:v>
      </x:c>
      <x:c r="C279" s="14" t="n">
        <x:v>27901</x:v>
      </x:c>
      <x:c r="D279" s="14" t="n">
        <x:v>3749</x:v>
      </x:c>
      <x:c r="E279" s="14" t="n">
        <x:v>6964</x:v>
      </x:c>
      <x:c r="F279" s="14" t="n">
        <x:v>4479</x:v>
      </x:c>
      <x:c r="G279" s="14" t="n">
        <x:v>603</x:v>
      </x:c>
      <x:c r="H279" s="14" t="n">
        <x:v>2503</x:v>
      </x:c>
    </x:row>
    <x:row r="280">
      <x:c r="A280" s="14" t="n">
        <x:v>1</x:v>
      </x:c>
      <x:c r="B280" s="14" t="n">
        <x:v>3</x:v>
      </x:c>
      <x:c r="C280" s="14" t="n">
        <x:v>9061</x:v>
      </x:c>
      <x:c r="D280" s="14" t="n">
        <x:v>829</x:v>
      </x:c>
      <x:c r="E280" s="14" t="n">
        <x:v>683</x:v>
      </x:c>
      <x:c r="F280" s="14" t="n">
        <x:v>16919</x:v>
      </x:c>
      <x:c r="G280" s="14" t="n">
        <x:v>621</x:v>
      </x:c>
      <x:c r="H280" s="14" t="n">
        <x:v>139</x:v>
      </x:c>
    </x:row>
    <x:row r="281">
      <x:c r="A281" s="14" t="n">
        <x:v>1</x:v>
      </x:c>
      <x:c r="B281" s="14" t="n">
        <x:v>3</x:v>
      </x:c>
      <x:c r="C281" s="14" t="n">
        <x:v>11693</x:v>
      </x:c>
      <x:c r="D281" s="14" t="n">
        <x:v>2317</x:v>
      </x:c>
      <x:c r="E281" s="14" t="n">
        <x:v>2543</x:v>
      </x:c>
      <x:c r="F281" s="14" t="n">
        <x:v>5845</x:v>
      </x:c>
      <x:c r="G281" s="14" t="n">
        <x:v>274</x:v>
      </x:c>
      <x:c r="H281" s="14" t="n">
        <x:v>1409</x:v>
      </x:c>
    </x:row>
    <x:row r="282">
      <x:c r="A282" s="14" t="n">
        <x:v>2</x:v>
      </x:c>
      <x:c r="B282" s="14" t="n">
        <x:v>3</x:v>
      </x:c>
      <x:c r="C282" s="14" t="n">
        <x:v>17360</x:v>
      </x:c>
      <x:c r="D282" s="14" t="n">
        <x:v>6200</x:v>
      </x:c>
      <x:c r="E282" s="14" t="n">
        <x:v>9694</x:v>
      </x:c>
      <x:c r="F282" s="14" t="n">
        <x:v>1293</x:v>
      </x:c>
      <x:c r="G282" s="14" t="n">
        <x:v>3620</x:v>
      </x:c>
      <x:c r="H282" s="14" t="n">
        <x:v>1721</x:v>
      </x:c>
    </x:row>
    <x:row r="283">
      <x:c r="A283" s="14" t="n">
        <x:v>1</x:v>
      </x:c>
      <x:c r="B283" s="14" t="n">
        <x:v>3</x:v>
      </x:c>
      <x:c r="C283" s="14" t="n">
        <x:v>3366</x:v>
      </x:c>
      <x:c r="D283" s="14" t="n">
        <x:v>2884</x:v>
      </x:c>
      <x:c r="E283" s="14" t="n">
        <x:v>2431</x:v>
      </x:c>
      <x:c r="F283" s="14" t="n">
        <x:v>977</x:v>
      </x:c>
      <x:c r="G283" s="14" t="n">
        <x:v>167</x:v>
      </x:c>
      <x:c r="H283" s="14" t="n">
        <x:v>1104</x:v>
      </x:c>
    </x:row>
    <x:row r="284">
      <x:c r="A284" s="14" t="n">
        <x:v>2</x:v>
      </x:c>
      <x:c r="B284" s="14" t="n">
        <x:v>3</x:v>
      </x:c>
      <x:c r="C284" s="14" t="n">
        <x:v>12238</x:v>
      </x:c>
      <x:c r="D284" s="14" t="n">
        <x:v>7108</x:v>
      </x:c>
      <x:c r="E284" s="14" t="n">
        <x:v>6235</x:v>
      </x:c>
      <x:c r="F284" s="14" t="n">
        <x:v>1093</x:v>
      </x:c>
      <x:c r="G284" s="14" t="n">
        <x:v>2328</x:v>
      </x:c>
      <x:c r="H284" s="14" t="n">
        <x:v>2079</x:v>
      </x:c>
    </x:row>
    <x:row r="285">
      <x:c r="A285" s="14" t="n">
        <x:v>1</x:v>
      </x:c>
      <x:c r="B285" s="14" t="n">
        <x:v>3</x:v>
      </x:c>
      <x:c r="C285" s="14" t="n">
        <x:v>49063</x:v>
      </x:c>
      <x:c r="D285" s="14" t="n">
        <x:v>3965</x:v>
      </x:c>
      <x:c r="E285" s="14" t="n">
        <x:v>4252</x:v>
      </x:c>
      <x:c r="F285" s="14" t="n">
        <x:v>5970</x:v>
      </x:c>
      <x:c r="G285" s="14" t="n">
        <x:v>1041</x:v>
      </x:c>
      <x:c r="H285" s="14" t="n">
        <x:v>1404</x:v>
      </x:c>
    </x:row>
    <x:row r="286">
      <x:c r="A286" s="14" t="n">
        <x:v>1</x:v>
      </x:c>
      <x:c r="B286" s="14" t="n">
        <x:v>3</x:v>
      </x:c>
      <x:c r="C286" s="14" t="n">
        <x:v>25767</x:v>
      </x:c>
      <x:c r="D286" s="14" t="n">
        <x:v>3613</x:v>
      </x:c>
      <x:c r="E286" s="14" t="n">
        <x:v>2013</x:v>
      </x:c>
      <x:c r="F286" s="14" t="n">
        <x:v>10303</x:v>
      </x:c>
      <x:c r="G286" s="14" t="n">
        <x:v>314</x:v>
      </x:c>
      <x:c r="H286" s="14" t="n">
        <x:v>1384</x:v>
      </x:c>
    </x:row>
    <x:row r="287">
      <x:c r="A287" s="14" t="n">
        <x:v>1</x:v>
      </x:c>
      <x:c r="B287" s="14" t="n">
        <x:v>3</x:v>
      </x:c>
      <x:c r="C287" s="14" t="n">
        <x:v>68951</x:v>
      </x:c>
      <x:c r="D287" s="14" t="n">
        <x:v>4411</x:v>
      </x:c>
      <x:c r="E287" s="14" t="n">
        <x:v>12609</x:v>
      </x:c>
      <x:c r="F287" s="14" t="n">
        <x:v>8692</x:v>
      </x:c>
      <x:c r="G287" s="14" t="n">
        <x:v>751</x:v>
      </x:c>
      <x:c r="H287" s="14" t="n">
        <x:v>2406</x:v>
      </x:c>
    </x:row>
    <x:row r="288">
      <x:c r="A288" s="14" t="n">
        <x:v>1</x:v>
      </x:c>
      <x:c r="B288" s="14" t="n">
        <x:v>3</x:v>
      </x:c>
      <x:c r="C288" s="14" t="n">
        <x:v>40254</x:v>
      </x:c>
      <x:c r="D288" s="14" t="n">
        <x:v>640</x:v>
      </x:c>
      <x:c r="E288" s="14" t="n">
        <x:v>3600</x:v>
      </x:c>
      <x:c r="F288" s="14" t="n">
        <x:v>1042</x:v>
      </x:c>
      <x:c r="G288" s="14" t="n">
        <x:v>436</x:v>
      </x:c>
      <x:c r="H288" s="14" t="n">
        <x:v>18</x:v>
      </x:c>
    </x:row>
    <x:row r="289">
      <x:c r="A289" s="14" t="n">
        <x:v>1</x:v>
      </x:c>
      <x:c r="B289" s="14" t="n">
        <x:v>3</x:v>
      </x:c>
      <x:c r="C289" s="14" t="n">
        <x:v>7149</x:v>
      </x:c>
      <x:c r="D289" s="14" t="n">
        <x:v>2247</x:v>
      </x:c>
      <x:c r="E289" s="14" t="n">
        <x:v>1242</x:v>
      </x:c>
      <x:c r="F289" s="14" t="n">
        <x:v>1619</x:v>
      </x:c>
      <x:c r="G289" s="14" t="n">
        <x:v>1226</x:v>
      </x:c>
      <x:c r="H289" s="14" t="n">
        <x:v>128</x:v>
      </x:c>
    </x:row>
    <x:row r="290">
      <x:c r="A290" s="14" t="n">
        <x:v>1</x:v>
      </x:c>
      <x:c r="B290" s="14" t="n">
        <x:v>3</x:v>
      </x:c>
      <x:c r="C290" s="14" t="n">
        <x:v>15354</x:v>
      </x:c>
      <x:c r="D290" s="14" t="n">
        <x:v>2102</x:v>
      </x:c>
      <x:c r="E290" s="14" t="n">
        <x:v>2828</x:v>
      </x:c>
      <x:c r="F290" s="14" t="n">
        <x:v>8366</x:v>
      </x:c>
      <x:c r="G290" s="14" t="n">
        <x:v>386</x:v>
      </x:c>
      <x:c r="H290" s="14" t="n">
        <x:v>1027</x:v>
      </x:c>
    </x:row>
    <x:row r="291">
      <x:c r="A291" s="14" t="n">
        <x:v>1</x:v>
      </x:c>
      <x:c r="B291" s="14" t="n">
        <x:v>3</x:v>
      </x:c>
      <x:c r="C291" s="14" t="n">
        <x:v>16260</x:v>
      </x:c>
      <x:c r="D291" s="14" t="n">
        <x:v>594</x:v>
      </x:c>
      <x:c r="E291" s="14" t="n">
        <x:v>1296</x:v>
      </x:c>
      <x:c r="F291" s="14" t="n">
        <x:v>848</x:v>
      </x:c>
      <x:c r="G291" s="14" t="n">
        <x:v>445</x:v>
      </x:c>
      <x:c r="H291" s="14" t="n">
        <x:v>258</x:v>
      </x:c>
    </x:row>
    <x:row r="292">
      <x:c r="A292" s="14" t="n">
        <x:v>1</x:v>
      </x:c>
      <x:c r="B292" s="14" t="n">
        <x:v>3</x:v>
      </x:c>
      <x:c r="C292" s="14" t="n">
        <x:v>42786</x:v>
      </x:c>
      <x:c r="D292" s="14" t="n">
        <x:v>286</x:v>
      </x:c>
      <x:c r="E292" s="14" t="n">
        <x:v>471</x:v>
      </x:c>
      <x:c r="F292" s="14" t="n">
        <x:v>1388</x:v>
      </x:c>
      <x:c r="G292" s="14" t="n">
        <x:v>32</x:v>
      </x:c>
      <x:c r="H292" s="14" t="n">
        <x:v>22</x:v>
      </x:c>
    </x:row>
    <x:row r="293">
      <x:c r="A293" s="14" t="n">
        <x:v>1</x:v>
      </x:c>
      <x:c r="B293" s="14" t="n">
        <x:v>3</x:v>
      </x:c>
      <x:c r="C293" s="14" t="n">
        <x:v>2708</x:v>
      </x:c>
      <x:c r="D293" s="14" t="n">
        <x:v>2160</x:v>
      </x:c>
      <x:c r="E293" s="14" t="n">
        <x:v>2642</x:v>
      </x:c>
      <x:c r="F293" s="14" t="n">
        <x:v>502</x:v>
      </x:c>
      <x:c r="G293" s="14" t="n">
        <x:v>965</x:v>
      </x:c>
      <x:c r="H293" s="14" t="n">
        <x:v>1522</x:v>
      </x:c>
    </x:row>
    <x:row r="294">
      <x:c r="A294" s="14" t="n">
        <x:v>1</x:v>
      </x:c>
      <x:c r="B294" s="14" t="n">
        <x:v>3</x:v>
      </x:c>
      <x:c r="C294" s="14" t="n">
        <x:v>6022</x:v>
      </x:c>
      <x:c r="D294" s="14" t="n">
        <x:v>3354</x:v>
      </x:c>
      <x:c r="E294" s="14" t="n">
        <x:v>3261</x:v>
      </x:c>
      <x:c r="F294" s="14" t="n">
        <x:v>2507</x:v>
      </x:c>
      <x:c r="G294" s="14" t="n">
        <x:v>212</x:v>
      </x:c>
      <x:c r="H294" s="14" t="n">
        <x:v>686</x:v>
      </x:c>
    </x:row>
    <x:row r="295">
      <x:c r="A295" s="14" t="n">
        <x:v>1</x:v>
      </x:c>
      <x:c r="B295" s="14" t="n">
        <x:v>3</x:v>
      </x:c>
      <x:c r="C295" s="14" t="n">
        <x:v>2838</x:v>
      </x:c>
      <x:c r="D295" s="14" t="n">
        <x:v>3086</x:v>
      </x:c>
      <x:c r="E295" s="14" t="n">
        <x:v>4329</x:v>
      </x:c>
      <x:c r="F295" s="14" t="n">
        <x:v>3838</x:v>
      </x:c>
      <x:c r="G295" s="14" t="n">
        <x:v>825</x:v>
      </x:c>
      <x:c r="H295" s="14" t="n">
        <x:v>1060</x:v>
      </x:c>
    </x:row>
    <x:row r="296">
      <x:c r="A296" s="14" t="n">
        <x:v>2</x:v>
      </x:c>
      <x:c r="B296" s="14" t="n">
        <x:v>2</x:v>
      </x:c>
      <x:c r="C296" s="14" t="n">
        <x:v>3996</x:v>
      </x:c>
      <x:c r="D296" s="14" t="n">
        <x:v>11103</x:v>
      </x:c>
      <x:c r="E296" s="14" t="n">
        <x:v>12469</x:v>
      </x:c>
      <x:c r="F296" s="14" t="n">
        <x:v>902</x:v>
      </x:c>
      <x:c r="G296" s="14" t="n">
        <x:v>5952</x:v>
      </x:c>
      <x:c r="H296" s="14" t="n">
        <x:v>741</x:v>
      </x:c>
    </x:row>
    <x:row r="297">
      <x:c r="A297" s="14" t="n">
        <x:v>1</x:v>
      </x:c>
      <x:c r="B297" s="14" t="n">
        <x:v>2</x:v>
      </x:c>
      <x:c r="C297" s="14" t="n">
        <x:v>21273</x:v>
      </x:c>
      <x:c r="D297" s="14" t="n">
        <x:v>2013</x:v>
      </x:c>
      <x:c r="E297" s="14" t="n">
        <x:v>6550</x:v>
      </x:c>
      <x:c r="F297" s="14" t="n">
        <x:v>909</x:v>
      </x:c>
      <x:c r="G297" s="14" t="n">
        <x:v>811</x:v>
      </x:c>
      <x:c r="H297" s="14" t="n">
        <x:v>1854</x:v>
      </x:c>
    </x:row>
    <x:row r="298">
      <x:c r="A298" s="14" t="n">
        <x:v>2</x:v>
      </x:c>
      <x:c r="B298" s="14" t="n">
        <x:v>2</x:v>
      </x:c>
      <x:c r="C298" s="14" t="n">
        <x:v>7588</x:v>
      </x:c>
      <x:c r="D298" s="14" t="n">
        <x:v>1897</x:v>
      </x:c>
      <x:c r="E298" s="14" t="n">
        <x:v>5234</x:v>
      </x:c>
      <x:c r="F298" s="14" t="n">
        <x:v>417</x:v>
      </x:c>
      <x:c r="G298" s="14" t="n">
        <x:v>2208</x:v>
      </x:c>
      <x:c r="H298" s="14" t="n">
        <x:v>254</x:v>
      </x:c>
    </x:row>
    <x:row r="299">
      <x:c r="A299" s="14" t="n">
        <x:v>1</x:v>
      </x:c>
      <x:c r="B299" s="14" t="n">
        <x:v>2</x:v>
      </x:c>
      <x:c r="C299" s="14" t="n">
        <x:v>19087</x:v>
      </x:c>
      <x:c r="D299" s="14" t="n">
        <x:v>1304</x:v>
      </x:c>
      <x:c r="E299" s="14" t="n">
        <x:v>3643</x:v>
      </x:c>
      <x:c r="F299" s="14" t="n">
        <x:v>3045</x:v>
      </x:c>
      <x:c r="G299" s="14" t="n">
        <x:v>710</x:v>
      </x:c>
      <x:c r="H299" s="14" t="n">
        <x:v>898</x:v>
      </x:c>
    </x:row>
    <x:row r="300">
      <x:c r="A300" s="14" t="n">
        <x:v>2</x:v>
      </x:c>
      <x:c r="B300" s="14" t="n">
        <x:v>2</x:v>
      </x:c>
      <x:c r="C300" s="14" t="n">
        <x:v>8090</x:v>
      </x:c>
      <x:c r="D300" s="14" t="n">
        <x:v>3199</x:v>
      </x:c>
      <x:c r="E300" s="14" t="n">
        <x:v>6986</x:v>
      </x:c>
      <x:c r="F300" s="14" t="n">
        <x:v>1455</x:v>
      </x:c>
      <x:c r="G300" s="14" t="n">
        <x:v>3712</x:v>
      </x:c>
      <x:c r="H300" s="14" t="n">
        <x:v>531</x:v>
      </x:c>
    </x:row>
    <x:row r="301">
      <x:c r="A301" s="14" t="n">
        <x:v>2</x:v>
      </x:c>
      <x:c r="B301" s="14" t="n">
        <x:v>2</x:v>
      </x:c>
      <x:c r="C301" s="14" t="n">
        <x:v>6758</x:v>
      </x:c>
      <x:c r="D301" s="14" t="n">
        <x:v>4560</x:v>
      </x:c>
      <x:c r="E301" s="14" t="n">
        <x:v>9965</x:v>
      </x:c>
      <x:c r="F301" s="14" t="n">
        <x:v>934</x:v>
      </x:c>
      <x:c r="G301" s="14" t="n">
        <x:v>4538</x:v>
      </x:c>
      <x:c r="H301" s="14" t="n">
        <x:v>1037</x:v>
      </x:c>
    </x:row>
    <x:row r="302">
      <x:c r="A302" s="14" t="n">
        <x:v>1</x:v>
      </x:c>
      <x:c r="B302" s="14" t="n">
        <x:v>2</x:v>
      </x:c>
      <x:c r="C302" s="14" t="n">
        <x:v>444</x:v>
      </x:c>
      <x:c r="D302" s="14" t="n">
        <x:v>879</x:v>
      </x:c>
      <x:c r="E302" s="14" t="n">
        <x:v>2060</x:v>
      </x:c>
      <x:c r="F302" s="14" t="n">
        <x:v>264</x:v>
      </x:c>
      <x:c r="G302" s="14" t="n">
        <x:v>290</x:v>
      </x:c>
      <x:c r="H302" s="14" t="n">
        <x:v>259</x:v>
      </x:c>
    </x:row>
    <x:row r="303">
      <x:c r="A303" s="14" t="n">
        <x:v>2</x:v>
      </x:c>
      <x:c r="B303" s="14" t="n">
        <x:v>2</x:v>
      </x:c>
      <x:c r="C303" s="14" t="n">
        <x:v>16448</x:v>
      </x:c>
      <x:c r="D303" s="14" t="n">
        <x:v>6243</x:v>
      </x:c>
      <x:c r="E303" s="14" t="n">
        <x:v>6360</x:v>
      </x:c>
      <x:c r="F303" s="14" t="n">
        <x:v>824</x:v>
      </x:c>
      <x:c r="G303" s="14" t="n">
        <x:v>2662</x:v>
      </x:c>
      <x:c r="H303" s="14" t="n">
        <x:v>2005</x:v>
      </x:c>
    </x:row>
    <x:row r="304">
      <x:c r="A304" s="14" t="n">
        <x:v>2</x:v>
      </x:c>
      <x:c r="B304" s="14" t="n">
        <x:v>2</x:v>
      </x:c>
      <x:c r="C304" s="14" t="n">
        <x:v>5283</x:v>
      </x:c>
      <x:c r="D304" s="14" t="n">
        <x:v>13316</x:v>
      </x:c>
      <x:c r="E304" s="14" t="n">
        <x:v>20399</x:v>
      </x:c>
      <x:c r="F304" s="14" t="n">
        <x:v>1809</x:v>
      </x:c>
      <x:c r="G304" s="14" t="n">
        <x:v>8752</x:v>
      </x:c>
      <x:c r="H304" s="14" t="n">
        <x:v>172</x:v>
      </x:c>
    </x:row>
    <x:row r="305">
      <x:c r="A305" s="14" t="n">
        <x:v>2</x:v>
      </x:c>
      <x:c r="B305" s="14" t="n">
        <x:v>2</x:v>
      </x:c>
      <x:c r="C305" s="14" t="n">
        <x:v>2886</x:v>
      </x:c>
      <x:c r="D305" s="14" t="n">
        <x:v>5302</x:v>
      </x:c>
      <x:c r="E305" s="14" t="n">
        <x:v>9785</x:v>
      </x:c>
      <x:c r="F305" s="14" t="n">
        <x:v>364</x:v>
      </x:c>
      <x:c r="G305" s="14" t="n">
        <x:v>6236</x:v>
      </x:c>
      <x:c r="H305" s="14" t="n">
        <x:v>555</x:v>
      </x:c>
    </x:row>
    <x:row r="306">
      <x:c r="A306" s="14" t="n">
        <x:v>2</x:v>
      </x:c>
      <x:c r="B306" s="14" t="n">
        <x:v>2</x:v>
      </x:c>
      <x:c r="C306" s="14" t="n">
        <x:v>2599</x:v>
      </x:c>
      <x:c r="D306" s="14" t="n">
        <x:v>3688</x:v>
      </x:c>
      <x:c r="E306" s="14" t="n">
        <x:v>13829</x:v>
      </x:c>
      <x:c r="F306" s="14" t="n">
        <x:v>492</x:v>
      </x:c>
      <x:c r="G306" s="14" t="n">
        <x:v>10069</x:v>
      </x:c>
      <x:c r="H306" s="14" t="n">
        <x:v>59</x:v>
      </x:c>
    </x:row>
    <x:row r="307">
      <x:c r="A307" s="14" t="n">
        <x:v>2</x:v>
      </x:c>
      <x:c r="B307" s="14" t="n">
        <x:v>2</x:v>
      </x:c>
      <x:c r="C307" s="14" t="n">
        <x:v>161</x:v>
      </x:c>
      <x:c r="D307" s="14" t="n">
        <x:v>7460</x:v>
      </x:c>
      <x:c r="E307" s="14" t="n">
        <x:v>24773</x:v>
      </x:c>
      <x:c r="F307" s="14" t="n">
        <x:v>617</x:v>
      </x:c>
      <x:c r="G307" s="14" t="n">
        <x:v>11783</x:v>
      </x:c>
      <x:c r="H307" s="14" t="n">
        <x:v>2410</x:v>
      </x:c>
    </x:row>
    <x:row r="308">
      <x:c r="A308" s="14" t="n">
        <x:v>2</x:v>
      </x:c>
      <x:c r="B308" s="14" t="n">
        <x:v>2</x:v>
      </x:c>
      <x:c r="C308" s="14" t="n">
        <x:v>243</x:v>
      </x:c>
      <x:c r="D308" s="14" t="n">
        <x:v>12939</x:v>
      </x:c>
      <x:c r="E308" s="14" t="n">
        <x:v>8852</x:v>
      </x:c>
      <x:c r="F308" s="14" t="n">
        <x:v>799</x:v>
      </x:c>
      <x:c r="G308" s="14" t="n">
        <x:v>3909</x:v>
      </x:c>
      <x:c r="H308" s="14" t="n">
        <x:v>211</x:v>
      </x:c>
    </x:row>
    <x:row r="309">
      <x:c r="A309" s="14" t="n">
        <x:v>2</x:v>
      </x:c>
      <x:c r="B309" s="14" t="n">
        <x:v>2</x:v>
      </x:c>
      <x:c r="C309" s="14" t="n">
        <x:v>6468</x:v>
      </x:c>
      <x:c r="D309" s="14" t="n">
        <x:v>12867</x:v>
      </x:c>
      <x:c r="E309" s="14" t="n">
        <x:v>21570</x:v>
      </x:c>
      <x:c r="F309" s="14" t="n">
        <x:v>1840</x:v>
      </x:c>
      <x:c r="G309" s="14" t="n">
        <x:v>7558</x:v>
      </x:c>
      <x:c r="H309" s="14" t="n">
        <x:v>1543</x:v>
      </x:c>
    </x:row>
    <x:row r="310">
      <x:c r="A310" s="14" t="n">
        <x:v>1</x:v>
      </x:c>
      <x:c r="B310" s="14" t="n">
        <x:v>2</x:v>
      </x:c>
      <x:c r="C310" s="14" t="n">
        <x:v>17327</x:v>
      </x:c>
      <x:c r="D310" s="14" t="n">
        <x:v>2374</x:v>
      </x:c>
      <x:c r="E310" s="14" t="n">
        <x:v>2842</x:v>
      </x:c>
      <x:c r="F310" s="14" t="n">
        <x:v>1149</x:v>
      </x:c>
      <x:c r="G310" s="14" t="n">
        <x:v>351</x:v>
      </x:c>
      <x:c r="H310" s="14" t="n">
        <x:v>925</x:v>
      </x:c>
    </x:row>
    <x:row r="311">
      <x:c r="A311" s="14" t="n">
        <x:v>1</x:v>
      </x:c>
      <x:c r="B311" s="14" t="n">
        <x:v>2</x:v>
      </x:c>
      <x:c r="C311" s="14" t="n">
        <x:v>6987</x:v>
      </x:c>
      <x:c r="D311" s="14" t="n">
        <x:v>1020</x:v>
      </x:c>
      <x:c r="E311" s="14" t="n">
        <x:v>3007</x:v>
      </x:c>
      <x:c r="F311" s="14" t="n">
        <x:v>416</x:v>
      </x:c>
      <x:c r="G311" s="14" t="n">
        <x:v>257</x:v>
      </x:c>
      <x:c r="H311" s="14" t="n">
        <x:v>656</x:v>
      </x:c>
    </x:row>
    <x:row r="312">
      <x:c r="A312" s="14" t="n">
        <x:v>2</x:v>
      </x:c>
      <x:c r="B312" s="14" t="n">
        <x:v>2</x:v>
      </x:c>
      <x:c r="C312" s="14" t="n">
        <x:v>918</x:v>
      </x:c>
      <x:c r="D312" s="14" t="n">
        <x:v>20655</x:v>
      </x:c>
      <x:c r="E312" s="14" t="n">
        <x:v>13567</x:v>
      </x:c>
      <x:c r="F312" s="14" t="n">
        <x:v>1465</x:v>
      </x:c>
      <x:c r="G312" s="14" t="n">
        <x:v>6846</x:v>
      </x:c>
      <x:c r="H312" s="14" t="n">
        <x:v>806</x:v>
      </x:c>
    </x:row>
    <x:row r="313">
      <x:c r="A313" s="14" t="n">
        <x:v>1</x:v>
      </x:c>
      <x:c r="B313" s="14" t="n">
        <x:v>2</x:v>
      </x:c>
      <x:c r="C313" s="14" t="n">
        <x:v>7034</x:v>
      </x:c>
      <x:c r="D313" s="14" t="n">
        <x:v>1492</x:v>
      </x:c>
      <x:c r="E313" s="14" t="n">
        <x:v>2405</x:v>
      </x:c>
      <x:c r="F313" s="14" t="n">
        <x:v>12569</x:v>
      </x:c>
      <x:c r="G313" s="14" t="n">
        <x:v>299</x:v>
      </x:c>
      <x:c r="H313" s="14" t="n">
        <x:v>1117</x:v>
      </x:c>
    </x:row>
    <x:row r="314">
      <x:c r="A314" s="14" t="n">
        <x:v>1</x:v>
      </x:c>
      <x:c r="B314" s="14" t="n">
        <x:v>2</x:v>
      </x:c>
      <x:c r="C314" s="14" t="n">
        <x:v>29635</x:v>
      </x:c>
      <x:c r="D314" s="14" t="n">
        <x:v>2335</x:v>
      </x:c>
      <x:c r="E314" s="14" t="n">
        <x:v>8280</x:v>
      </x:c>
      <x:c r="F314" s="14" t="n">
        <x:v>3046</x:v>
      </x:c>
      <x:c r="G314" s="14" t="n">
        <x:v>371</x:v>
      </x:c>
      <x:c r="H314" s="14" t="n">
        <x:v>117</x:v>
      </x:c>
    </x:row>
    <x:row r="315">
      <x:c r="A315" s="14" t="n">
        <x:v>2</x:v>
      </x:c>
      <x:c r="B315" s="14" t="n">
        <x:v>2</x:v>
      </x:c>
      <x:c r="C315" s="14" t="n">
        <x:v>2137</x:v>
      </x:c>
      <x:c r="D315" s="14" t="n">
        <x:v>3737</x:v>
      </x:c>
      <x:c r="E315" s="14" t="n">
        <x:v>19172</x:v>
      </x:c>
      <x:c r="F315" s="14" t="n">
        <x:v>1274</x:v>
      </x:c>
      <x:c r="G315" s="14" t="n">
        <x:v>17120</x:v>
      </x:c>
      <x:c r="H315" s="14" t="n">
        <x:v>142</x:v>
      </x:c>
    </x:row>
    <x:row r="316">
      <x:c r="A316" s="14" t="n">
        <x:v>1</x:v>
      </x:c>
      <x:c r="B316" s="14" t="n">
        <x:v>2</x:v>
      </x:c>
      <x:c r="C316" s="14" t="n">
        <x:v>9784</x:v>
      </x:c>
      <x:c r="D316" s="14" t="n">
        <x:v>925</x:v>
      </x:c>
      <x:c r="E316" s="14" t="n">
        <x:v>2405</x:v>
      </x:c>
      <x:c r="F316" s="14" t="n">
        <x:v>4447</x:v>
      </x:c>
      <x:c r="G316" s="14" t="n">
        <x:v>183</x:v>
      </x:c>
      <x:c r="H316" s="14" t="n">
        <x:v>297</x:v>
      </x:c>
    </x:row>
    <x:row r="317">
      <x:c r="A317" s="14" t="n">
        <x:v>1</x:v>
      </x:c>
      <x:c r="B317" s="14" t="n">
        <x:v>2</x:v>
      </x:c>
      <x:c r="C317" s="14" t="n">
        <x:v>10617</x:v>
      </x:c>
      <x:c r="D317" s="14" t="n">
        <x:v>1795</x:v>
      </x:c>
      <x:c r="E317" s="14" t="n">
        <x:v>7647</x:v>
      </x:c>
      <x:c r="F317" s="14" t="n">
        <x:v>1483</x:v>
      </x:c>
      <x:c r="G317" s="14" t="n">
        <x:v>857</x:v>
      </x:c>
      <x:c r="H317" s="14" t="n">
        <x:v>1233</x:v>
      </x:c>
    </x:row>
    <x:row r="318">
      <x:c r="A318" s="14" t="n">
        <x:v>2</x:v>
      </x:c>
      <x:c r="B318" s="14" t="n">
        <x:v>2</x:v>
      </x:c>
      <x:c r="C318" s="14" t="n">
        <x:v>1479</x:v>
      </x:c>
      <x:c r="D318" s="14" t="n">
        <x:v>14982</x:v>
      </x:c>
      <x:c r="E318" s="14" t="n">
        <x:v>11924</x:v>
      </x:c>
      <x:c r="F318" s="14" t="n">
        <x:v>662</x:v>
      </x:c>
      <x:c r="G318" s="14" t="n">
        <x:v>3891</x:v>
      </x:c>
      <x:c r="H318" s="14" t="n">
        <x:v>3508</x:v>
      </x:c>
    </x:row>
    <x:row r="319">
      <x:c r="A319" s="14" t="n">
        <x:v>1</x:v>
      </x:c>
      <x:c r="B319" s="14" t="n">
        <x:v>2</x:v>
      </x:c>
      <x:c r="C319" s="14" t="n">
        <x:v>7127</x:v>
      </x:c>
      <x:c r="D319" s="14" t="n">
        <x:v>1375</x:v>
      </x:c>
      <x:c r="E319" s="14" t="n">
        <x:v>2201</x:v>
      </x:c>
      <x:c r="F319" s="14" t="n">
        <x:v>2679</x:v>
      </x:c>
      <x:c r="G319" s="14" t="n">
        <x:v>83</x:v>
      </x:c>
      <x:c r="H319" s="14" t="n">
        <x:v>1059</x:v>
      </x:c>
    </x:row>
    <x:row r="320">
      <x:c r="A320" s="14" t="n">
        <x:v>1</x:v>
      </x:c>
      <x:c r="B320" s="14" t="n">
        <x:v>2</x:v>
      </x:c>
      <x:c r="C320" s="14" t="n">
        <x:v>1182</x:v>
      </x:c>
      <x:c r="D320" s="14" t="n">
        <x:v>3088</x:v>
      </x:c>
      <x:c r="E320" s="14" t="n">
        <x:v>6114</x:v>
      </x:c>
      <x:c r="F320" s="14" t="n">
        <x:v>978</x:v>
      </x:c>
      <x:c r="G320" s="14" t="n">
        <x:v>821</x:v>
      </x:c>
      <x:c r="H320" s="14" t="n">
        <x:v>1637</x:v>
      </x:c>
    </x:row>
    <x:row r="321">
      <x:c r="A321" s="14" t="n">
        <x:v>1</x:v>
      </x:c>
      <x:c r="B321" s="14" t="n">
        <x:v>2</x:v>
      </x:c>
      <x:c r="C321" s="14" t="n">
        <x:v>11800</x:v>
      </x:c>
      <x:c r="D321" s="14" t="n">
        <x:v>2713</x:v>
      </x:c>
      <x:c r="E321" s="14" t="n">
        <x:v>3558</x:v>
      </x:c>
      <x:c r="F321" s="14" t="n">
        <x:v>2121</x:v>
      </x:c>
      <x:c r="G321" s="14" t="n">
        <x:v>706</x:v>
      </x:c>
      <x:c r="H321" s="14" t="n">
        <x:v>51</x:v>
      </x:c>
    </x:row>
    <x:row r="322">
      <x:c r="A322" s="14" t="n">
        <x:v>2</x:v>
      </x:c>
      <x:c r="B322" s="14" t="n">
        <x:v>2</x:v>
      </x:c>
      <x:c r="C322" s="14" t="n">
        <x:v>9759</x:v>
      </x:c>
      <x:c r="D322" s="14" t="n">
        <x:v>25071</x:v>
      </x:c>
      <x:c r="E322" s="14" t="n">
        <x:v>17645</x:v>
      </x:c>
      <x:c r="F322" s="14" t="n">
        <x:v>1128</x:v>
      </x:c>
      <x:c r="G322" s="14" t="n">
        <x:v>12408</x:v>
      </x:c>
      <x:c r="H322" s="14" t="n">
        <x:v>1625</x:v>
      </x:c>
    </x:row>
    <x:row r="323">
      <x:c r="A323" s="14" t="n">
        <x:v>1</x:v>
      </x:c>
      <x:c r="B323" s="14" t="n">
        <x:v>2</x:v>
      </x:c>
      <x:c r="C323" s="14" t="n">
        <x:v>1774</x:v>
      </x:c>
      <x:c r="D323" s="14" t="n">
        <x:v>3696</x:v>
      </x:c>
      <x:c r="E323" s="14" t="n">
        <x:v>2280</x:v>
      </x:c>
      <x:c r="F323" s="14" t="n">
        <x:v>514</x:v>
      </x:c>
      <x:c r="G323" s="14" t="n">
        <x:v>275</x:v>
      </x:c>
      <x:c r="H323" s="14" t="n">
        <x:v>834</x:v>
      </x:c>
    </x:row>
    <x:row r="324">
      <x:c r="A324" s="14" t="n">
        <x:v>1</x:v>
      </x:c>
      <x:c r="B324" s="14" t="n">
        <x:v>2</x:v>
      </x:c>
      <x:c r="C324" s="14" t="n">
        <x:v>9155</x:v>
      </x:c>
      <x:c r="D324" s="14" t="n">
        <x:v>1897</x:v>
      </x:c>
      <x:c r="E324" s="14" t="n">
        <x:v>5167</x:v>
      </x:c>
      <x:c r="F324" s="14" t="n">
        <x:v>2714</x:v>
      </x:c>
      <x:c r="G324" s="14" t="n">
        <x:v>228</x:v>
      </x:c>
      <x:c r="H324" s="14" t="n">
        <x:v>1113</x:v>
      </x:c>
    </x:row>
    <x:row r="325">
      <x:c r="A325" s="14" t="n">
        <x:v>1</x:v>
      </x:c>
      <x:c r="B325" s="14" t="n">
        <x:v>2</x:v>
      </x:c>
      <x:c r="C325" s="14" t="n">
        <x:v>15881</x:v>
      </x:c>
      <x:c r="D325" s="14" t="n">
        <x:v>713</x:v>
      </x:c>
      <x:c r="E325" s="14" t="n">
        <x:v>3315</x:v>
      </x:c>
      <x:c r="F325" s="14" t="n">
        <x:v>3703</x:v>
      </x:c>
      <x:c r="G325" s="14" t="n">
        <x:v>1470</x:v>
      </x:c>
      <x:c r="H325" s="14" t="n">
        <x:v>229</x:v>
      </x:c>
    </x:row>
    <x:row r="326">
      <x:c r="A326" s="14" t="n">
        <x:v>1</x:v>
      </x:c>
      <x:c r="B326" s="14" t="n">
        <x:v>2</x:v>
      </x:c>
      <x:c r="C326" s="14" t="n">
        <x:v>13360</x:v>
      </x:c>
      <x:c r="D326" s="14" t="n">
        <x:v>944</x:v>
      </x:c>
      <x:c r="E326" s="14" t="n">
        <x:v>11593</x:v>
      </x:c>
      <x:c r="F326" s="14" t="n">
        <x:v>915</x:v>
      </x:c>
      <x:c r="G326" s="14" t="n">
        <x:v>1679</x:v>
      </x:c>
      <x:c r="H326" s="14" t="n">
        <x:v>573</x:v>
      </x:c>
    </x:row>
    <x:row r="327">
      <x:c r="A327" s="14" t="n">
        <x:v>1</x:v>
      </x:c>
      <x:c r="B327" s="14" t="n">
        <x:v>2</x:v>
      </x:c>
      <x:c r="C327" s="14" t="n">
        <x:v>25977</x:v>
      </x:c>
      <x:c r="D327" s="14" t="n">
        <x:v>3587</x:v>
      </x:c>
      <x:c r="E327" s="14" t="n">
        <x:v>2464</x:v>
      </x:c>
      <x:c r="F327" s="14" t="n">
        <x:v>2369</x:v>
      </x:c>
      <x:c r="G327" s="14" t="n">
        <x:v>140</x:v>
      </x:c>
      <x:c r="H327" s="14" t="n">
        <x:v>1092</x:v>
      </x:c>
    </x:row>
    <x:row r="328">
      <x:c r="A328" s="14" t="n">
        <x:v>1</x:v>
      </x:c>
      <x:c r="B328" s="14" t="n">
        <x:v>2</x:v>
      </x:c>
      <x:c r="C328" s="14" t="n">
        <x:v>32717</x:v>
      </x:c>
      <x:c r="D328" s="14" t="n">
        <x:v>16784</x:v>
      </x:c>
      <x:c r="E328" s="14" t="n">
        <x:v>13626</x:v>
      </x:c>
      <x:c r="F328" s="14" t="n">
        <x:v>60869</x:v>
      </x:c>
      <x:c r="G328" s="14" t="n">
        <x:v>1272</x:v>
      </x:c>
      <x:c r="H328" s="14" t="n">
        <x:v>5609</x:v>
      </x:c>
    </x:row>
    <x:row r="329">
      <x:c r="A329" s="14" t="n">
        <x:v>1</x:v>
      </x:c>
      <x:c r="B329" s="14" t="n">
        <x:v>2</x:v>
      </x:c>
      <x:c r="C329" s="14" t="n">
        <x:v>4414</x:v>
      </x:c>
      <x:c r="D329" s="14" t="n">
        <x:v>1610</x:v>
      </x:c>
      <x:c r="E329" s="14" t="n">
        <x:v>1431</x:v>
      </x:c>
      <x:c r="F329" s="14" t="n">
        <x:v>3498</x:v>
      </x:c>
      <x:c r="G329" s="14" t="n">
        <x:v>387</x:v>
      </x:c>
      <x:c r="H329" s="14" t="n">
        <x:v>834</x:v>
      </x:c>
    </x:row>
    <x:row r="330">
      <x:c r="A330" s="14" t="n">
        <x:v>1</x:v>
      </x:c>
      <x:c r="B330" s="14" t="n">
        <x:v>2</x:v>
      </x:c>
      <x:c r="C330" s="14" t="n">
        <x:v>542</x:v>
      </x:c>
      <x:c r="D330" s="14" t="n">
        <x:v>899</x:v>
      </x:c>
      <x:c r="E330" s="14" t="n">
        <x:v>1664</x:v>
      </x:c>
      <x:c r="F330" s="14" t="n">
        <x:v>414</x:v>
      </x:c>
      <x:c r="G330" s="14" t="n">
        <x:v>88</x:v>
      </x:c>
      <x:c r="H330" s="14" t="n">
        <x:v>522</x:v>
      </x:c>
    </x:row>
    <x:row r="331">
      <x:c r="A331" s="14" t="n">
        <x:v>1</x:v>
      </x:c>
      <x:c r="B331" s="14" t="n">
        <x:v>2</x:v>
      </x:c>
      <x:c r="C331" s="14" t="n">
        <x:v>16933</x:v>
      </x:c>
      <x:c r="D331" s="14" t="n">
        <x:v>2209</x:v>
      </x:c>
      <x:c r="E331" s="14" t="n">
        <x:v>3389</x:v>
      </x:c>
      <x:c r="F331" s="14" t="n">
        <x:v>7849</x:v>
      </x:c>
      <x:c r="G331" s="14" t="n">
        <x:v>210</x:v>
      </x:c>
      <x:c r="H331" s="14" t="n">
        <x:v>1534</x:v>
      </x:c>
    </x:row>
    <x:row r="332">
      <x:c r="A332" s="14" t="n">
        <x:v>1</x:v>
      </x:c>
      <x:c r="B332" s="14" t="n">
        <x:v>2</x:v>
      </x:c>
      <x:c r="C332" s="14" t="n">
        <x:v>5113</x:v>
      </x:c>
      <x:c r="D332" s="14" t="n">
        <x:v>1486</x:v>
      </x:c>
      <x:c r="E332" s="14" t="n">
        <x:v>4583</x:v>
      </x:c>
      <x:c r="F332" s="14" t="n">
        <x:v>5127</x:v>
      </x:c>
      <x:c r="G332" s="14" t="n">
        <x:v>492</x:v>
      </x:c>
      <x:c r="H332" s="14" t="n">
        <x:v>739</x:v>
      </x:c>
    </x:row>
    <x:row r="333">
      <x:c r="A333" s="14" t="n">
        <x:v>1</x:v>
      </x:c>
      <x:c r="B333" s="14" t="n">
        <x:v>2</x:v>
      </x:c>
      <x:c r="C333" s="14" t="n">
        <x:v>9790</x:v>
      </x:c>
      <x:c r="D333" s="14" t="n">
        <x:v>1786</x:v>
      </x:c>
      <x:c r="E333" s="14" t="n">
        <x:v>5109</x:v>
      </x:c>
      <x:c r="F333" s="14" t="n">
        <x:v>3570</x:v>
      </x:c>
      <x:c r="G333" s="14" t="n">
        <x:v>182</x:v>
      </x:c>
      <x:c r="H333" s="14" t="n">
        <x:v>1043</x:v>
      </x:c>
    </x:row>
    <x:row r="334">
      <x:c r="A334" s="14" t="n">
        <x:v>2</x:v>
      </x:c>
      <x:c r="B334" s="14" t="n">
        <x:v>2</x:v>
      </x:c>
      <x:c r="C334" s="14" t="n">
        <x:v>11223</x:v>
      </x:c>
      <x:c r="D334" s="14" t="n">
        <x:v>14881</x:v>
      </x:c>
      <x:c r="E334" s="14" t="n">
        <x:v>26839</x:v>
      </x:c>
      <x:c r="F334" s="14" t="n">
        <x:v>1234</x:v>
      </x:c>
      <x:c r="G334" s="14" t="n">
        <x:v>9606</x:v>
      </x:c>
      <x:c r="H334" s="14" t="n">
        <x:v>1102</x:v>
      </x:c>
    </x:row>
    <x:row r="335">
      <x:c r="A335" s="14" t="n">
        <x:v>1</x:v>
      </x:c>
      <x:c r="B335" s="14" t="n">
        <x:v>2</x:v>
      </x:c>
      <x:c r="C335" s="14" t="n">
        <x:v>22321</x:v>
      </x:c>
      <x:c r="D335" s="14" t="n">
        <x:v>3216</x:v>
      </x:c>
      <x:c r="E335" s="14" t="n">
        <x:v>1447</x:v>
      </x:c>
      <x:c r="F335" s="14" t="n">
        <x:v>2208</x:v>
      </x:c>
      <x:c r="G335" s="14" t="n">
        <x:v>178</x:v>
      </x:c>
      <x:c r="H335" s="14" t="n">
        <x:v>2602</x:v>
      </x:c>
    </x:row>
    <x:row r="336">
      <x:c r="A336" s="14" t="n">
        <x:v>2</x:v>
      </x:c>
      <x:c r="B336" s="14" t="n">
        <x:v>2</x:v>
      </x:c>
      <x:c r="C336" s="14" t="n">
        <x:v>8565</x:v>
      </x:c>
      <x:c r="D336" s="14" t="n">
        <x:v>4980</x:v>
      </x:c>
      <x:c r="E336" s="14" t="n">
        <x:v>67298</x:v>
      </x:c>
      <x:c r="F336" s="14" t="n">
        <x:v>131</x:v>
      </x:c>
      <x:c r="G336" s="14" t="n">
        <x:v>38102</x:v>
      </x:c>
      <x:c r="H336" s="14" t="n">
        <x:v>1215</x:v>
      </x:c>
    </x:row>
    <x:row r="337">
      <x:c r="A337" s="14" t="n">
        <x:v>2</x:v>
      </x:c>
      <x:c r="B337" s="14" t="n">
        <x:v>2</x:v>
      </x:c>
      <x:c r="C337" s="14" t="n">
        <x:v>16823</x:v>
      </x:c>
      <x:c r="D337" s="14" t="n">
        <x:v>928</x:v>
      </x:c>
      <x:c r="E337" s="14" t="n">
        <x:v>2743</x:v>
      </x:c>
      <x:c r="F337" s="14" t="n">
        <x:v>11559</x:v>
      </x:c>
      <x:c r="G337" s="14" t="n">
        <x:v>332</x:v>
      </x:c>
      <x:c r="H337" s="14" t="n">
        <x:v>3486</x:v>
      </x:c>
    </x:row>
    <x:row r="338">
      <x:c r="A338" s="14" t="n">
        <x:v>2</x:v>
      </x:c>
      <x:c r="B338" s="14" t="n">
        <x:v>2</x:v>
      </x:c>
      <x:c r="C338" s="14" t="n">
        <x:v>27082</x:v>
      </x:c>
      <x:c r="D338" s="14" t="n">
        <x:v>6817</x:v>
      </x:c>
      <x:c r="E338" s="14" t="n">
        <x:v>10790</x:v>
      </x:c>
      <x:c r="F338" s="14" t="n">
        <x:v>1365</x:v>
      </x:c>
      <x:c r="G338" s="14" t="n">
        <x:v>4111</x:v>
      </x:c>
      <x:c r="H338" s="14" t="n">
        <x:v>2139</x:v>
      </x:c>
    </x:row>
    <x:row r="339">
      <x:c r="A339" s="14" t="n">
        <x:v>1</x:v>
      </x:c>
      <x:c r="B339" s="14" t="n">
        <x:v>2</x:v>
      </x:c>
      <x:c r="C339" s="14" t="n">
        <x:v>13970</x:v>
      </x:c>
      <x:c r="D339" s="14" t="n">
        <x:v>1511</x:v>
      </x:c>
      <x:c r="E339" s="14" t="n">
        <x:v>1330</x:v>
      </x:c>
      <x:c r="F339" s="14" t="n">
        <x:v>650</x:v>
      </x:c>
      <x:c r="G339" s="14" t="n">
        <x:v>146</x:v>
      </x:c>
      <x:c r="H339" s="14" t="n">
        <x:v>778</x:v>
      </x:c>
    </x:row>
    <x:row r="340">
      <x:c r="A340" s="14" t="n">
        <x:v>1</x:v>
      </x:c>
      <x:c r="B340" s="14" t="n">
        <x:v>2</x:v>
      </x:c>
      <x:c r="C340" s="14" t="n">
        <x:v>9351</x:v>
      </x:c>
      <x:c r="D340" s="14" t="n">
        <x:v>1347</x:v>
      </x:c>
      <x:c r="E340" s="14" t="n">
        <x:v>2611</x:v>
      </x:c>
      <x:c r="F340" s="14" t="n">
        <x:v>8170</x:v>
      </x:c>
      <x:c r="G340" s="14" t="n">
        <x:v>442</x:v>
      </x:c>
      <x:c r="H340" s="14" t="n">
        <x:v>868</x:v>
      </x:c>
    </x:row>
    <x:row r="341">
      <x:c r="A341" s="14" t="n">
        <x:v>1</x:v>
      </x:c>
      <x:c r="B341" s="14" t="n">
        <x:v>2</x:v>
      </x:c>
      <x:c r="C341" s="14" t="n">
        <x:v>3</x:v>
      </x:c>
      <x:c r="D341" s="14" t="n">
        <x:v>333</x:v>
      </x:c>
      <x:c r="E341" s="14" t="n">
        <x:v>7021</x:v>
      </x:c>
      <x:c r="F341" s="14" t="n">
        <x:v>15601</x:v>
      </x:c>
      <x:c r="G341" s="14" t="n">
        <x:v>15</x:v>
      </x:c>
      <x:c r="H341" s="14" t="n">
        <x:v>550</x:v>
      </x:c>
    </x:row>
    <x:row r="342">
      <x:c r="A342" s="14" t="n">
        <x:v>1</x:v>
      </x:c>
      <x:c r="B342" s="14" t="n">
        <x:v>2</x:v>
      </x:c>
      <x:c r="C342" s="14" t="n">
        <x:v>2617</x:v>
      </x:c>
      <x:c r="D342" s="14" t="n">
        <x:v>1188</x:v>
      </x:c>
      <x:c r="E342" s="14" t="n">
        <x:v>5332</x:v>
      </x:c>
      <x:c r="F342" s="14" t="n">
        <x:v>9584</x:v>
      </x:c>
      <x:c r="G342" s="14" t="n">
        <x:v>573</x:v>
      </x:c>
      <x:c r="H342" s="14" t="n">
        <x:v>1942</x:v>
      </x:c>
    </x:row>
    <x:row r="343">
      <x:c r="A343" s="14" t="n">
        <x:v>2</x:v>
      </x:c>
      <x:c r="B343" s="14" t="n">
        <x:v>3</x:v>
      </x:c>
      <x:c r="C343" s="14" t="n">
        <x:v>381</x:v>
      </x:c>
      <x:c r="D343" s="14" t="n">
        <x:v>4025</x:v>
      </x:c>
      <x:c r="E343" s="14" t="n">
        <x:v>9670</x:v>
      </x:c>
      <x:c r="F343" s="14" t="n">
        <x:v>388</x:v>
      </x:c>
      <x:c r="G343" s="14" t="n">
        <x:v>7271</x:v>
      </x:c>
      <x:c r="H343" s="14" t="n">
        <x:v>1371</x:v>
      </x:c>
    </x:row>
    <x:row r="344">
      <x:c r="A344" s="14" t="n">
        <x:v>2</x:v>
      </x:c>
      <x:c r="B344" s="14" t="n">
        <x:v>3</x:v>
      </x:c>
      <x:c r="C344" s="14" t="n">
        <x:v>2320</x:v>
      </x:c>
      <x:c r="D344" s="14" t="n">
        <x:v>5763</x:v>
      </x:c>
      <x:c r="E344" s="14" t="n">
        <x:v>11238</x:v>
      </x:c>
      <x:c r="F344" s="14" t="n">
        <x:v>767</x:v>
      </x:c>
      <x:c r="G344" s="14" t="n">
        <x:v>5162</x:v>
      </x:c>
      <x:c r="H344" s="14" t="n">
        <x:v>2158</x:v>
      </x:c>
    </x:row>
    <x:row r="345">
      <x:c r="A345" s="14" t="n">
        <x:v>1</x:v>
      </x:c>
      <x:c r="B345" s="14" t="n">
        <x:v>3</x:v>
      </x:c>
      <x:c r="C345" s="14" t="n">
        <x:v>255</x:v>
      </x:c>
      <x:c r="D345" s="14" t="n">
        <x:v>5758</x:v>
      </x:c>
      <x:c r="E345" s="14" t="n">
        <x:v>5923</x:v>
      </x:c>
      <x:c r="F345" s="14" t="n">
        <x:v>349</x:v>
      </x:c>
      <x:c r="G345" s="14" t="n">
        <x:v>4595</x:v>
      </x:c>
      <x:c r="H345" s="14" t="n">
        <x:v>1328</x:v>
      </x:c>
    </x:row>
    <x:row r="346">
      <x:c r="A346" s="14" t="n">
        <x:v>2</x:v>
      </x:c>
      <x:c r="B346" s="14" t="n">
        <x:v>3</x:v>
      </x:c>
      <x:c r="C346" s="14" t="n">
        <x:v>1689</x:v>
      </x:c>
      <x:c r="D346" s="14" t="n">
        <x:v>6964</x:v>
      </x:c>
      <x:c r="E346" s="14" t="n">
        <x:v>26316</x:v>
      </x:c>
      <x:c r="F346" s="14" t="n">
        <x:v>1456</x:v>
      </x:c>
      <x:c r="G346" s="14" t="n">
        <x:v>15469</x:v>
      </x:c>
      <x:c r="H346" s="14" t="n">
        <x:v>37</x:v>
      </x:c>
    </x:row>
    <x:row r="347">
      <x:c r="A347" s="14" t="n">
        <x:v>1</x:v>
      </x:c>
      <x:c r="B347" s="14" t="n">
        <x:v>3</x:v>
      </x:c>
      <x:c r="C347" s="14" t="n">
        <x:v>3043</x:v>
      </x:c>
      <x:c r="D347" s="14" t="n">
        <x:v>1172</x:v>
      </x:c>
      <x:c r="E347" s="14" t="n">
        <x:v>1763</x:v>
      </x:c>
      <x:c r="F347" s="14" t="n">
        <x:v>2234</x:v>
      </x:c>
      <x:c r="G347" s="14" t="n">
        <x:v>217</x:v>
      </x:c>
      <x:c r="H347" s="14" t="n">
        <x:v>379</x:v>
      </x:c>
    </x:row>
    <x:row r="348">
      <x:c r="A348" s="14" t="n">
        <x:v>1</x:v>
      </x:c>
      <x:c r="B348" s="14" t="n">
        <x:v>3</x:v>
      </x:c>
      <x:c r="C348" s="14" t="n">
        <x:v>1198</x:v>
      </x:c>
      <x:c r="D348" s="14" t="n">
        <x:v>2602</x:v>
      </x:c>
      <x:c r="E348" s="14" t="n">
        <x:v>8335</x:v>
      </x:c>
      <x:c r="F348" s="14" t="n">
        <x:v>402</x:v>
      </x:c>
      <x:c r="G348" s="14" t="n">
        <x:v>3843</x:v>
      </x:c>
      <x:c r="H348" s="14" t="n">
        <x:v>303</x:v>
      </x:c>
    </x:row>
    <x:row r="349">
      <x:c r="A349" s="14" t="n">
        <x:v>2</x:v>
      </x:c>
      <x:c r="B349" s="14" t="n">
        <x:v>3</x:v>
      </x:c>
      <x:c r="C349" s="14" t="n">
        <x:v>2771</x:v>
      </x:c>
      <x:c r="D349" s="14" t="n">
        <x:v>6939</x:v>
      </x:c>
      <x:c r="E349" s="14" t="n">
        <x:v>15541</x:v>
      </x:c>
      <x:c r="F349" s="14" t="n">
        <x:v>2693</x:v>
      </x:c>
      <x:c r="G349" s="14" t="n">
        <x:v>6600</x:v>
      </x:c>
      <x:c r="H349" s="14" t="n">
        <x:v>1115</x:v>
      </x:c>
    </x:row>
    <x:row r="350">
      <x:c r="A350" s="14" t="n">
        <x:v>2</x:v>
      </x:c>
      <x:c r="B350" s="14" t="n">
        <x:v>3</x:v>
      </x:c>
      <x:c r="C350" s="14" t="n">
        <x:v>27380</x:v>
      </x:c>
      <x:c r="D350" s="14" t="n">
        <x:v>7184</x:v>
      </x:c>
      <x:c r="E350" s="14" t="n">
        <x:v>12311</x:v>
      </x:c>
      <x:c r="F350" s="14" t="n">
        <x:v>2809</x:v>
      </x:c>
      <x:c r="G350" s="14" t="n">
        <x:v>4621</x:v>
      </x:c>
      <x:c r="H350" s="14" t="n">
        <x:v>1022</x:v>
      </x:c>
    </x:row>
    <x:row r="351">
      <x:c r="A351" s="14" t="n">
        <x:v>1</x:v>
      </x:c>
      <x:c r="B351" s="14" t="n">
        <x:v>3</x:v>
      </x:c>
      <x:c r="C351" s="14" t="n">
        <x:v>3428</x:v>
      </x:c>
      <x:c r="D351" s="14" t="n">
        <x:v>2380</x:v>
      </x:c>
      <x:c r="E351" s="14" t="n">
        <x:v>2028</x:v>
      </x:c>
      <x:c r="F351" s="14" t="n">
        <x:v>1341</x:v>
      </x:c>
      <x:c r="G351" s="14" t="n">
        <x:v>1184</x:v>
      </x:c>
      <x:c r="H351" s="14" t="n">
        <x:v>665</x:v>
      </x:c>
    </x:row>
    <x:row r="352">
      <x:c r="A352" s="14" t="n">
        <x:v>2</x:v>
      </x:c>
      <x:c r="B352" s="14" t="n">
        <x:v>3</x:v>
      </x:c>
      <x:c r="C352" s="14" t="n">
        <x:v>5981</x:v>
      </x:c>
      <x:c r="D352" s="14" t="n">
        <x:v>14641</x:v>
      </x:c>
      <x:c r="E352" s="14" t="n">
        <x:v>20521</x:v>
      </x:c>
      <x:c r="F352" s="14" t="n">
        <x:v>2005</x:v>
      </x:c>
      <x:c r="G352" s="14" t="n">
        <x:v>12218</x:v>
      </x:c>
      <x:c r="H352" s="14" t="n">
        <x:v>445</x:v>
      </x:c>
    </x:row>
    <x:row r="353">
      <x:c r="A353" s="14" t="n">
        <x:v>1</x:v>
      </x:c>
      <x:c r="B353" s="14" t="n">
        <x:v>3</x:v>
      </x:c>
      <x:c r="C353" s="14" t="n">
        <x:v>3521</x:v>
      </x:c>
      <x:c r="D353" s="14" t="n">
        <x:v>1099</x:v>
      </x:c>
      <x:c r="E353" s="14" t="n">
        <x:v>1997</x:v>
      </x:c>
      <x:c r="F353" s="14" t="n">
        <x:v>1796</x:v>
      </x:c>
      <x:c r="G353" s="14" t="n">
        <x:v>173</x:v>
      </x:c>
      <x:c r="H353" s="14" t="n">
        <x:v>995</x:v>
      </x:c>
    </x:row>
    <x:row r="354">
      <x:c r="A354" s="14" t="n">
        <x:v>2</x:v>
      </x:c>
      <x:c r="B354" s="14" t="n">
        <x:v>3</x:v>
      </x:c>
      <x:c r="C354" s="14" t="n">
        <x:v>1210</x:v>
      </x:c>
      <x:c r="D354" s="14" t="n">
        <x:v>10044</x:v>
      </x:c>
      <x:c r="E354" s="14" t="n">
        <x:v>22294</x:v>
      </x:c>
      <x:c r="F354" s="14" t="n">
        <x:v>1741</x:v>
      </x:c>
      <x:c r="G354" s="14" t="n">
        <x:v>12638</x:v>
      </x:c>
      <x:c r="H354" s="14" t="n">
        <x:v>3137</x:v>
      </x:c>
    </x:row>
    <x:row r="355">
      <x:c r="A355" s="14" t="n">
        <x:v>1</x:v>
      </x:c>
      <x:c r="B355" s="14" t="n">
        <x:v>3</x:v>
      </x:c>
      <x:c r="C355" s="14" t="n">
        <x:v>608</x:v>
      </x:c>
      <x:c r="D355" s="14" t="n">
        <x:v>1106</x:v>
      </x:c>
      <x:c r="E355" s="14" t="n">
        <x:v>1533</x:v>
      </x:c>
      <x:c r="F355" s="14" t="n">
        <x:v>830</x:v>
      </x:c>
      <x:c r="G355" s="14" t="n">
        <x:v>90</x:v>
      </x:c>
      <x:c r="H355" s="14" t="n">
        <x:v>195</x:v>
      </x:c>
    </x:row>
    <x:row r="356">
      <x:c r="A356" s="14" t="n">
        <x:v>2</x:v>
      </x:c>
      <x:c r="B356" s="14" t="n">
        <x:v>3</x:v>
      </x:c>
      <x:c r="C356" s="14" t="n">
        <x:v>117</x:v>
      </x:c>
      <x:c r="D356" s="14" t="n">
        <x:v>6264</x:v>
      </x:c>
      <x:c r="E356" s="14" t="n">
        <x:v>21203</x:v>
      </x:c>
      <x:c r="F356" s="14" t="n">
        <x:v>228</x:v>
      </x:c>
      <x:c r="G356" s="14" t="n">
        <x:v>8682</x:v>
      </x:c>
      <x:c r="H356" s="14" t="n">
        <x:v>1111</x:v>
      </x:c>
    </x:row>
    <x:row r="357">
      <x:c r="A357" s="14" t="n">
        <x:v>1</x:v>
      </x:c>
      <x:c r="B357" s="14" t="n">
        <x:v>3</x:v>
      </x:c>
      <x:c r="C357" s="14" t="n">
        <x:v>14039</x:v>
      </x:c>
      <x:c r="D357" s="14" t="n">
        <x:v>7393</x:v>
      </x:c>
      <x:c r="E357" s="14" t="n">
        <x:v>2548</x:v>
      </x:c>
      <x:c r="F357" s="14" t="n">
        <x:v>6386</x:v>
      </x:c>
      <x:c r="G357" s="14" t="n">
        <x:v>1333</x:v>
      </x:c>
      <x:c r="H357" s="14" t="n">
        <x:v>2341</x:v>
      </x:c>
    </x:row>
    <x:row r="358">
      <x:c r="A358" s="14" t="n">
        <x:v>1</x:v>
      </x:c>
      <x:c r="B358" s="14" t="n">
        <x:v>3</x:v>
      </x:c>
      <x:c r="C358" s="14" t="n">
        <x:v>190</x:v>
      </x:c>
      <x:c r="D358" s="14" t="n">
        <x:v>727</x:v>
      </x:c>
      <x:c r="E358" s="14" t="n">
        <x:v>2012</x:v>
      </x:c>
      <x:c r="F358" s="14" t="n">
        <x:v>245</x:v>
      </x:c>
      <x:c r="G358" s="14" t="n">
        <x:v>184</x:v>
      </x:c>
      <x:c r="H358" s="14" t="n">
        <x:v>127</x:v>
      </x:c>
    </x:row>
    <x:row r="359">
      <x:c r="A359" s="14" t="n">
        <x:v>1</x:v>
      </x:c>
      <x:c r="B359" s="14" t="n">
        <x:v>3</x:v>
      </x:c>
      <x:c r="C359" s="14" t="n">
        <x:v>22686</x:v>
      </x:c>
      <x:c r="D359" s="14" t="n">
        <x:v>134</x:v>
      </x:c>
      <x:c r="E359" s="14" t="n">
        <x:v>218</x:v>
      </x:c>
      <x:c r="F359" s="14" t="n">
        <x:v>3157</x:v>
      </x:c>
      <x:c r="G359" s="14" t="n">
        <x:v>9</x:v>
      </x:c>
      <x:c r="H359" s="14" t="n">
        <x:v>548</x:v>
      </x:c>
    </x:row>
    <x:row r="360">
      <x:c r="A360" s="14" t="n">
        <x:v>2</x:v>
      </x:c>
      <x:c r="B360" s="14" t="n">
        <x:v>3</x:v>
      </x:c>
      <x:c r="C360" s="14" t="n">
        <x:v>37</x:v>
      </x:c>
      <x:c r="D360" s="14" t="n">
        <x:v>1275</x:v>
      </x:c>
      <x:c r="E360" s="14" t="n">
        <x:v>22272</x:v>
      </x:c>
      <x:c r="F360" s="14" t="n">
        <x:v>137</x:v>
      </x:c>
      <x:c r="G360" s="14" t="n">
        <x:v>6747</x:v>
      </x:c>
      <x:c r="H360" s="14" t="n">
        <x:v>110</x:v>
      </x:c>
    </x:row>
    <x:row r="361">
      <x:c r="A361" s="14" t="n">
        <x:v>1</x:v>
      </x:c>
      <x:c r="B361" s="14" t="n">
        <x:v>3</x:v>
      </x:c>
      <x:c r="C361" s="14" t="n">
        <x:v>759</x:v>
      </x:c>
      <x:c r="D361" s="14" t="n">
        <x:v>18664</x:v>
      </x:c>
      <x:c r="E361" s="14" t="n">
        <x:v>1660</x:v>
      </x:c>
      <x:c r="F361" s="14" t="n">
        <x:v>6114</x:v>
      </x:c>
      <x:c r="G361" s="14" t="n">
        <x:v>536</x:v>
      </x:c>
      <x:c r="H361" s="14" t="n">
        <x:v>4100</x:v>
      </x:c>
    </x:row>
    <x:row r="362">
      <x:c r="A362" s="14" t="n">
        <x:v>1</x:v>
      </x:c>
      <x:c r="B362" s="14" t="n">
        <x:v>3</x:v>
      </x:c>
      <x:c r="C362" s="14" t="n">
        <x:v>796</x:v>
      </x:c>
      <x:c r="D362" s="14" t="n">
        <x:v>5878</x:v>
      </x:c>
      <x:c r="E362" s="14" t="n">
        <x:v>2109</x:v>
      </x:c>
      <x:c r="F362" s="14" t="n">
        <x:v>340</x:v>
      </x:c>
      <x:c r="G362" s="14" t="n">
        <x:v>232</x:v>
      </x:c>
      <x:c r="H362" s="14" t="n">
        <x:v>776</x:v>
      </x:c>
    </x:row>
    <x:row r="363">
      <x:c r="A363" s="14" t="n">
        <x:v>1</x:v>
      </x:c>
      <x:c r="B363" s="14" t="n">
        <x:v>3</x:v>
      </x:c>
      <x:c r="C363" s="14" t="n">
        <x:v>19746</x:v>
      </x:c>
      <x:c r="D363" s="14" t="n">
        <x:v>2872</x:v>
      </x:c>
      <x:c r="E363" s="14" t="n">
        <x:v>2006</x:v>
      </x:c>
      <x:c r="F363" s="14" t="n">
        <x:v>2601</x:v>
      </x:c>
      <x:c r="G363" s="14" t="n">
        <x:v>468</x:v>
      </x:c>
      <x:c r="H363" s="14" t="n">
        <x:v>503</x:v>
      </x:c>
    </x:row>
    <x:row r="364">
      <x:c r="A364" s="14" t="n">
        <x:v>1</x:v>
      </x:c>
      <x:c r="B364" s="14" t="n">
        <x:v>3</x:v>
      </x:c>
      <x:c r="C364" s="14" t="n">
        <x:v>4734</x:v>
      </x:c>
      <x:c r="D364" s="14" t="n">
        <x:v>607</x:v>
      </x:c>
      <x:c r="E364" s="14" t="n">
        <x:v>864</x:v>
      </x:c>
      <x:c r="F364" s="14" t="n">
        <x:v>1206</x:v>
      </x:c>
      <x:c r="G364" s="14" t="n">
        <x:v>159</x:v>
      </x:c>
      <x:c r="H364" s="14" t="n">
        <x:v>405</x:v>
      </x:c>
    </x:row>
    <x:row r="365">
      <x:c r="A365" s="14" t="n">
        <x:v>1</x:v>
      </x:c>
      <x:c r="B365" s="14" t="n">
        <x:v>3</x:v>
      </x:c>
      <x:c r="C365" s="14" t="n">
        <x:v>2121</x:v>
      </x:c>
      <x:c r="D365" s="14" t="n">
        <x:v>1601</x:v>
      </x:c>
      <x:c r="E365" s="14" t="n">
        <x:v>2453</x:v>
      </x:c>
      <x:c r="F365" s="14" t="n">
        <x:v>560</x:v>
      </x:c>
      <x:c r="G365" s="14" t="n">
        <x:v>179</x:v>
      </x:c>
      <x:c r="H365" s="14" t="n">
        <x:v>712</x:v>
      </x:c>
    </x:row>
    <x:row r="366">
      <x:c r="A366" s="14" t="n">
        <x:v>1</x:v>
      </x:c>
      <x:c r="B366" s="14" t="n">
        <x:v>3</x:v>
      </x:c>
      <x:c r="C366" s="14" t="n">
        <x:v>4627</x:v>
      </x:c>
      <x:c r="D366" s="14" t="n">
        <x:v>997</x:v>
      </x:c>
      <x:c r="E366" s="14" t="n">
        <x:v>4438</x:v>
      </x:c>
      <x:c r="F366" s="14" t="n">
        <x:v>191</x:v>
      </x:c>
      <x:c r="G366" s="14" t="n">
        <x:v>1335</x:v>
      </x:c>
      <x:c r="H366" s="14" t="n">
        <x:v>314</x:v>
      </x:c>
    </x:row>
    <x:row r="367">
      <x:c r="A367" s="14" t="n">
        <x:v>1</x:v>
      </x:c>
      <x:c r="B367" s="14" t="n">
        <x:v>3</x:v>
      </x:c>
      <x:c r="C367" s="14" t="n">
        <x:v>2615</x:v>
      </x:c>
      <x:c r="D367" s="14" t="n">
        <x:v>873</x:v>
      </x:c>
      <x:c r="E367" s="14" t="n">
        <x:v>1524</x:v>
      </x:c>
      <x:c r="F367" s="14" t="n">
        <x:v>1103</x:v>
      </x:c>
      <x:c r="G367" s="14" t="n">
        <x:v>514</x:v>
      </x:c>
      <x:c r="H367" s="14" t="n">
        <x:v>468</x:v>
      </x:c>
    </x:row>
    <x:row r="368">
      <x:c r="A368" s="14" t="n">
        <x:v>2</x:v>
      </x:c>
      <x:c r="B368" s="14" t="n">
        <x:v>3</x:v>
      </x:c>
      <x:c r="C368" s="14" t="n">
        <x:v>4692</x:v>
      </x:c>
      <x:c r="D368" s="14" t="n">
        <x:v>6128</x:v>
      </x:c>
      <x:c r="E368" s="14" t="n">
        <x:v>8025</x:v>
      </x:c>
      <x:c r="F368" s="14" t="n">
        <x:v>1619</x:v>
      </x:c>
      <x:c r="G368" s="14" t="n">
        <x:v>4515</x:v>
      </x:c>
      <x:c r="H368" s="14" t="n">
        <x:v>3105</x:v>
      </x:c>
    </x:row>
    <x:row r="369">
      <x:c r="A369" s="14" t="n">
        <x:v>1</x:v>
      </x:c>
      <x:c r="B369" s="14" t="n">
        <x:v>3</x:v>
      </x:c>
      <x:c r="C369" s="14" t="n">
        <x:v>9561</x:v>
      </x:c>
      <x:c r="D369" s="14" t="n">
        <x:v>2217</x:v>
      </x:c>
      <x:c r="E369" s="14" t="n">
        <x:v>1664</x:v>
      </x:c>
      <x:c r="F369" s="14" t="n">
        <x:v>1173</x:v>
      </x:c>
      <x:c r="G369" s="14" t="n">
        <x:v>222</x:v>
      </x:c>
      <x:c r="H369" s="14" t="n">
        <x:v>447</x:v>
      </x:c>
    </x:row>
    <x:row r="370">
      <x:c r="A370" s="14" t="n">
        <x:v>1</x:v>
      </x:c>
      <x:c r="B370" s="14" t="n">
        <x:v>3</x:v>
      </x:c>
      <x:c r="C370" s="14" t="n">
        <x:v>3477</x:v>
      </x:c>
      <x:c r="D370" s="14" t="n">
        <x:v>894</x:v>
      </x:c>
      <x:c r="E370" s="14" t="n">
        <x:v>534</x:v>
      </x:c>
      <x:c r="F370" s="14" t="n">
        <x:v>1457</x:v>
      </x:c>
      <x:c r="G370" s="14" t="n">
        <x:v>252</x:v>
      </x:c>
      <x:c r="H370" s="14" t="n">
        <x:v>342</x:v>
      </x:c>
    </x:row>
    <x:row r="371">
      <x:c r="A371" s="14" t="n">
        <x:v>1</x:v>
      </x:c>
      <x:c r="B371" s="14" t="n">
        <x:v>3</x:v>
      </x:c>
      <x:c r="C371" s="14" t="n">
        <x:v>22335</x:v>
      </x:c>
      <x:c r="D371" s="14" t="n">
        <x:v>1196</x:v>
      </x:c>
      <x:c r="E371" s="14" t="n">
        <x:v>2406</x:v>
      </x:c>
      <x:c r="F371" s="14" t="n">
        <x:v>2046</x:v>
      </x:c>
      <x:c r="G371" s="14" t="n">
        <x:v>101</x:v>
      </x:c>
      <x:c r="H371" s="14" t="n">
        <x:v>558</x:v>
      </x:c>
    </x:row>
    <x:row r="372">
      <x:c r="A372" s="14" t="n">
        <x:v>1</x:v>
      </x:c>
      <x:c r="B372" s="14" t="n">
        <x:v>3</x:v>
      </x:c>
      <x:c r="C372" s="14" t="n">
        <x:v>6211</x:v>
      </x:c>
      <x:c r="D372" s="14" t="n">
        <x:v>337</x:v>
      </x:c>
      <x:c r="E372" s="14" t="n">
        <x:v>683</x:v>
      </x:c>
      <x:c r="F372" s="14" t="n">
        <x:v>1089</x:v>
      </x:c>
      <x:c r="G372" s="14" t="n">
        <x:v>41</x:v>
      </x:c>
      <x:c r="H372" s="14" t="n">
        <x:v>296</x:v>
      </x:c>
    </x:row>
    <x:row r="373">
      <x:c r="A373" s="14" t="n">
        <x:v>2</x:v>
      </x:c>
      <x:c r="B373" s="14" t="n">
        <x:v>3</x:v>
      </x:c>
      <x:c r="C373" s="14" t="n">
        <x:v>39679</x:v>
      </x:c>
      <x:c r="D373" s="14" t="n">
        <x:v>3944</x:v>
      </x:c>
      <x:c r="E373" s="14" t="n">
        <x:v>4955</x:v>
      </x:c>
      <x:c r="F373" s="14" t="n">
        <x:v>1364</x:v>
      </x:c>
      <x:c r="G373" s="14" t="n">
        <x:v>523</x:v>
      </x:c>
      <x:c r="H373" s="14" t="n">
        <x:v>2235</x:v>
      </x:c>
    </x:row>
    <x:row r="374">
      <x:c r="A374" s="14" t="n">
        <x:v>1</x:v>
      </x:c>
      <x:c r="B374" s="14" t="n">
        <x:v>3</x:v>
      </x:c>
      <x:c r="C374" s="14" t="n">
        <x:v>20105</x:v>
      </x:c>
      <x:c r="D374" s="14" t="n">
        <x:v>1887</x:v>
      </x:c>
      <x:c r="E374" s="14" t="n">
        <x:v>1939</x:v>
      </x:c>
      <x:c r="F374" s="14" t="n">
        <x:v>8164</x:v>
      </x:c>
      <x:c r="G374" s="14" t="n">
        <x:v>716</x:v>
      </x:c>
      <x:c r="H374" s="14" t="n">
        <x:v>790</x:v>
      </x:c>
    </x:row>
    <x:row r="375">
      <x:c r="A375" s="14" t="n">
        <x:v>1</x:v>
      </x:c>
      <x:c r="B375" s="14" t="n">
        <x:v>3</x:v>
      </x:c>
      <x:c r="C375" s="14" t="n">
        <x:v>3884</x:v>
      </x:c>
      <x:c r="D375" s="14" t="n">
        <x:v>3801</x:v>
      </x:c>
      <x:c r="E375" s="14" t="n">
        <x:v>1641</x:v>
      </x:c>
      <x:c r="F375" s="14" t="n">
        <x:v>876</x:v>
      </x:c>
      <x:c r="G375" s="14" t="n">
        <x:v>397</x:v>
      </x:c>
      <x:c r="H375" s="14" t="n">
        <x:v>4829</x:v>
      </x:c>
    </x:row>
    <x:row r="376">
      <x:c r="A376" s="14" t="n">
        <x:v>2</x:v>
      </x:c>
      <x:c r="B376" s="14" t="n">
        <x:v>3</x:v>
      </x:c>
      <x:c r="C376" s="14" t="n">
        <x:v>15076</x:v>
      </x:c>
      <x:c r="D376" s="14" t="n">
        <x:v>6257</x:v>
      </x:c>
      <x:c r="E376" s="14" t="n">
        <x:v>7398</x:v>
      </x:c>
      <x:c r="F376" s="14" t="n">
        <x:v>1504</x:v>
      </x:c>
      <x:c r="G376" s="14" t="n">
        <x:v>1916</x:v>
      </x:c>
      <x:c r="H376" s="14" t="n">
        <x:v>3113</x:v>
      </x:c>
    </x:row>
    <x:row r="377">
      <x:c r="A377" s="14" t="n">
        <x:v>1</x:v>
      </x:c>
      <x:c r="B377" s="14" t="n">
        <x:v>3</x:v>
      </x:c>
      <x:c r="C377" s="14" t="n">
        <x:v>6338</x:v>
      </x:c>
      <x:c r="D377" s="14" t="n">
        <x:v>2256</x:v>
      </x:c>
      <x:c r="E377" s="14" t="n">
        <x:v>1668</x:v>
      </x:c>
      <x:c r="F377" s="14" t="n">
        <x:v>1492</x:v>
      </x:c>
      <x:c r="G377" s="14" t="n">
        <x:v>311</x:v>
      </x:c>
      <x:c r="H377" s="14" t="n">
        <x:v>686</x:v>
      </x:c>
    </x:row>
    <x:row r="378">
      <x:c r="A378" s="14" t="n">
        <x:v>1</x:v>
      </x:c>
      <x:c r="B378" s="14" t="n">
        <x:v>3</x:v>
      </x:c>
      <x:c r="C378" s="14" t="n">
        <x:v>5841</x:v>
      </x:c>
      <x:c r="D378" s="14" t="n">
        <x:v>1450</x:v>
      </x:c>
      <x:c r="E378" s="14" t="n">
        <x:v>1162</x:v>
      </x:c>
      <x:c r="F378" s="14" t="n">
        <x:v>597</x:v>
      </x:c>
      <x:c r="G378" s="14" t="n">
        <x:v>476</x:v>
      </x:c>
      <x:c r="H378" s="14" t="n">
        <x:v>70</x:v>
      </x:c>
    </x:row>
    <x:row r="379">
      <x:c r="A379" s="14" t="n">
        <x:v>2</x:v>
      </x:c>
      <x:c r="B379" s="14" t="n">
        <x:v>3</x:v>
      </x:c>
      <x:c r="C379" s="14" t="n">
        <x:v>3136</x:v>
      </x:c>
      <x:c r="D379" s="14" t="n">
        <x:v>8630</x:v>
      </x:c>
      <x:c r="E379" s="14" t="n">
        <x:v>13586</x:v>
      </x:c>
      <x:c r="F379" s="14" t="n">
        <x:v>5641</x:v>
      </x:c>
      <x:c r="G379" s="14" t="n">
        <x:v>4666</x:v>
      </x:c>
      <x:c r="H379" s="14" t="n">
        <x:v>1426</x:v>
      </x:c>
    </x:row>
    <x:row r="380">
      <x:c r="A380" s="14" t="n">
        <x:v>1</x:v>
      </x:c>
      <x:c r="B380" s="14" t="n">
        <x:v>3</x:v>
      </x:c>
      <x:c r="C380" s="14" t="n">
        <x:v>38793</x:v>
      </x:c>
      <x:c r="D380" s="14" t="n">
        <x:v>3154</x:v>
      </x:c>
      <x:c r="E380" s="14" t="n">
        <x:v>2648</x:v>
      </x:c>
      <x:c r="F380" s="14" t="n">
        <x:v>1034</x:v>
      </x:c>
      <x:c r="G380" s="14" t="n">
        <x:v>96</x:v>
      </x:c>
      <x:c r="H380" s="14" t="n">
        <x:v>1242</x:v>
      </x:c>
    </x:row>
    <x:row r="381">
      <x:c r="A381" s="14" t="n">
        <x:v>1</x:v>
      </x:c>
      <x:c r="B381" s="14" t="n">
        <x:v>3</x:v>
      </x:c>
      <x:c r="C381" s="14" t="n">
        <x:v>3225</x:v>
      </x:c>
      <x:c r="D381" s="14" t="n">
        <x:v>3294</x:v>
      </x:c>
      <x:c r="E381" s="14" t="n">
        <x:v>1902</x:v>
      </x:c>
      <x:c r="F381" s="14" t="n">
        <x:v>282</x:v>
      </x:c>
      <x:c r="G381" s="14" t="n">
        <x:v>68</x:v>
      </x:c>
      <x:c r="H381" s="14" t="n">
        <x:v>1114</x:v>
      </x:c>
    </x:row>
    <x:row r="382">
      <x:c r="A382" s="14" t="n">
        <x:v>2</x:v>
      </x:c>
      <x:c r="B382" s="14" t="n">
        <x:v>3</x:v>
      </x:c>
      <x:c r="C382" s="14" t="n">
        <x:v>4048</x:v>
      </x:c>
      <x:c r="D382" s="14" t="n">
        <x:v>5164</x:v>
      </x:c>
      <x:c r="E382" s="14" t="n">
        <x:v>10391</x:v>
      </x:c>
      <x:c r="F382" s="14" t="n">
        <x:v>130</x:v>
      </x:c>
      <x:c r="G382" s="14" t="n">
        <x:v>813</x:v>
      </x:c>
      <x:c r="H382" s="14" t="n">
        <x:v>179</x:v>
      </x:c>
    </x:row>
    <x:row r="383">
      <x:c r="A383" s="14" t="n">
        <x:v>1</x:v>
      </x:c>
      <x:c r="B383" s="14" t="n">
        <x:v>3</x:v>
      </x:c>
      <x:c r="C383" s="14" t="n">
        <x:v>28257</x:v>
      </x:c>
      <x:c r="D383" s="14" t="n">
        <x:v>944</x:v>
      </x:c>
      <x:c r="E383" s="14" t="n">
        <x:v>2146</x:v>
      </x:c>
      <x:c r="F383" s="14" t="n">
        <x:v>3881</x:v>
      </x:c>
      <x:c r="G383" s="14" t="n">
        <x:v>600</x:v>
      </x:c>
      <x:c r="H383" s="14" t="n">
        <x:v>270</x:v>
      </x:c>
    </x:row>
    <x:row r="384">
      <x:c r="A384" s="14" t="n">
        <x:v>1</x:v>
      </x:c>
      <x:c r="B384" s="14" t="n">
        <x:v>3</x:v>
      </x:c>
      <x:c r="C384" s="14" t="n">
        <x:v>17770</x:v>
      </x:c>
      <x:c r="D384" s="14" t="n">
        <x:v>4591</x:v>
      </x:c>
      <x:c r="E384" s="14" t="n">
        <x:v>1617</x:v>
      </x:c>
      <x:c r="F384" s="14" t="n">
        <x:v>9927</x:v>
      </x:c>
      <x:c r="G384" s="14" t="n">
        <x:v>246</x:v>
      </x:c>
      <x:c r="H384" s="14" t="n">
        <x:v>532</x:v>
      </x:c>
    </x:row>
    <x:row r="385">
      <x:c r="A385" s="14" t="n">
        <x:v>1</x:v>
      </x:c>
      <x:c r="B385" s="14" t="n">
        <x:v>3</x:v>
      </x:c>
      <x:c r="C385" s="14" t="n">
        <x:v>34454</x:v>
      </x:c>
      <x:c r="D385" s="14" t="n">
        <x:v>7435</x:v>
      </x:c>
      <x:c r="E385" s="14" t="n">
        <x:v>8469</x:v>
      </x:c>
      <x:c r="F385" s="14" t="n">
        <x:v>2540</x:v>
      </x:c>
      <x:c r="G385" s="14" t="n">
        <x:v>1711</x:v>
      </x:c>
      <x:c r="H385" s="14" t="n">
        <x:v>2893</x:v>
      </x:c>
    </x:row>
    <x:row r="386">
      <x:c r="A386" s="14" t="n">
        <x:v>1</x:v>
      </x:c>
      <x:c r="B386" s="14" t="n">
        <x:v>3</x:v>
      </x:c>
      <x:c r="C386" s="14" t="n">
        <x:v>1821</x:v>
      </x:c>
      <x:c r="D386" s="14" t="n">
        <x:v>1364</x:v>
      </x:c>
      <x:c r="E386" s="14" t="n">
        <x:v>3450</x:v>
      </x:c>
      <x:c r="F386" s="14" t="n">
        <x:v>4006</x:v>
      </x:c>
      <x:c r="G386" s="14" t="n">
        <x:v>397</x:v>
      </x:c>
      <x:c r="H386" s="14" t="n">
        <x:v>361</x:v>
      </x:c>
    </x:row>
    <x:row r="387">
      <x:c r="A387" s="14" t="n">
        <x:v>1</x:v>
      </x:c>
      <x:c r="B387" s="14" t="n">
        <x:v>3</x:v>
      </x:c>
      <x:c r="C387" s="14" t="n">
        <x:v>10683</x:v>
      </x:c>
      <x:c r="D387" s="14" t="n">
        <x:v>21858</x:v>
      </x:c>
      <x:c r="E387" s="14" t="n">
        <x:v>15400</x:v>
      </x:c>
      <x:c r="F387" s="14" t="n">
        <x:v>3635</x:v>
      </x:c>
      <x:c r="G387" s="14" t="n">
        <x:v>282</x:v>
      </x:c>
      <x:c r="H387" s="14" t="n">
        <x:v>5120</x:v>
      </x:c>
    </x:row>
    <x:row r="388">
      <x:c r="A388" s="14" t="n">
        <x:v>1</x:v>
      </x:c>
      <x:c r="B388" s="14" t="n">
        <x:v>3</x:v>
      </x:c>
      <x:c r="C388" s="14" t="n">
        <x:v>11635</x:v>
      </x:c>
      <x:c r="D388" s="14" t="n">
        <x:v>922</x:v>
      </x:c>
      <x:c r="E388" s="14" t="n">
        <x:v>1614</x:v>
      </x:c>
      <x:c r="F388" s="14" t="n">
        <x:v>2583</x:v>
      </x:c>
      <x:c r="G388" s="14" t="n">
        <x:v>192</x:v>
      </x:c>
      <x:c r="H388" s="14" t="n">
        <x:v>1068</x:v>
      </x:c>
    </x:row>
    <x:row r="389">
      <x:c r="A389" s="14" t="n">
        <x:v>1</x:v>
      </x:c>
      <x:c r="B389" s="14" t="n">
        <x:v>3</x:v>
      </x:c>
      <x:c r="C389" s="14" t="n">
        <x:v>1206</x:v>
      </x:c>
      <x:c r="D389" s="14" t="n">
        <x:v>3620</x:v>
      </x:c>
      <x:c r="E389" s="14" t="n">
        <x:v>2857</x:v>
      </x:c>
      <x:c r="F389" s="14" t="n">
        <x:v>1945</x:v>
      </x:c>
      <x:c r="G389" s="14" t="n">
        <x:v>353</x:v>
      </x:c>
      <x:c r="H389" s="14" t="n">
        <x:v>967</x:v>
      </x:c>
    </x:row>
    <x:row r="390">
      <x:c r="A390" s="14" t="n">
        <x:v>1</x:v>
      </x:c>
      <x:c r="B390" s="14" t="n">
        <x:v>3</x:v>
      </x:c>
      <x:c r="C390" s="14" t="n">
        <x:v>20918</x:v>
      </x:c>
      <x:c r="D390" s="14" t="n">
        <x:v>1916</x:v>
      </x:c>
      <x:c r="E390" s="14" t="n">
        <x:v>1573</x:v>
      </x:c>
      <x:c r="F390" s="14" t="n">
        <x:v>1960</x:v>
      </x:c>
      <x:c r="G390" s="14" t="n">
        <x:v>231</x:v>
      </x:c>
      <x:c r="H390" s="14" t="n">
        <x:v>961</x:v>
      </x:c>
    </x:row>
    <x:row r="391">
      <x:c r="A391" s="14" t="n">
        <x:v>1</x:v>
      </x:c>
      <x:c r="B391" s="14" t="n">
        <x:v>3</x:v>
      </x:c>
      <x:c r="C391" s="14" t="n">
        <x:v>9785</x:v>
      </x:c>
      <x:c r="D391" s="14" t="n">
        <x:v>848</x:v>
      </x:c>
      <x:c r="E391" s="14" t="n">
        <x:v>1172</x:v>
      </x:c>
      <x:c r="F391" s="14" t="n">
        <x:v>1677</x:v>
      </x:c>
      <x:c r="G391" s="14" t="n">
        <x:v>200</x:v>
      </x:c>
      <x:c r="H391" s="14" t="n">
        <x:v>406</x:v>
      </x:c>
    </x:row>
    <x:row r="392">
      <x:c r="A392" s="14" t="n">
        <x:v>1</x:v>
      </x:c>
      <x:c r="B392" s="14" t="n">
        <x:v>3</x:v>
      </x:c>
      <x:c r="C392" s="14" t="n">
        <x:v>9385</x:v>
      </x:c>
      <x:c r="D392" s="14" t="n">
        <x:v>1530</x:v>
      </x:c>
      <x:c r="E392" s="14" t="n">
        <x:v>1422</x:v>
      </x:c>
      <x:c r="F392" s="14" t="n">
        <x:v>3019</x:v>
      </x:c>
      <x:c r="G392" s="14" t="n">
        <x:v>227</x:v>
      </x:c>
      <x:c r="H392" s="14" t="n">
        <x:v>684</x:v>
      </x:c>
    </x:row>
    <x:row r="393">
      <x:c r="A393" s="14" t="n">
        <x:v>1</x:v>
      </x:c>
      <x:c r="B393" s="14" t="n">
        <x:v>3</x:v>
      </x:c>
      <x:c r="C393" s="14" t="n">
        <x:v>3352</x:v>
      </x:c>
      <x:c r="D393" s="14" t="n">
        <x:v>1181</x:v>
      </x:c>
      <x:c r="E393" s="14" t="n">
        <x:v>1328</x:v>
      </x:c>
      <x:c r="F393" s="14" t="n">
        <x:v>5502</x:v>
      </x:c>
      <x:c r="G393" s="14" t="n">
        <x:v>311</x:v>
      </x:c>
      <x:c r="H393" s="14" t="n">
        <x:v>1000</x:v>
      </x:c>
    </x:row>
    <x:row r="394">
      <x:c r="A394" s="14" t="n">
        <x:v>1</x:v>
      </x:c>
      <x:c r="B394" s="14" t="n">
        <x:v>3</x:v>
      </x:c>
      <x:c r="C394" s="14" t="n">
        <x:v>2647</x:v>
      </x:c>
      <x:c r="D394" s="14" t="n">
        <x:v>2761</x:v>
      </x:c>
      <x:c r="E394" s="14" t="n">
        <x:v>2313</x:v>
      </x:c>
      <x:c r="F394" s="14" t="n">
        <x:v>907</x:v>
      </x:c>
      <x:c r="G394" s="14" t="n">
        <x:v>95</x:v>
      </x:c>
      <x:c r="H394" s="14" t="n">
        <x:v>1827</x:v>
      </x:c>
    </x:row>
    <x:row r="395">
      <x:c r="A395" s="14" t="n">
        <x:v>1</x:v>
      </x:c>
      <x:c r="B395" s="14" t="n">
        <x:v>3</x:v>
      </x:c>
      <x:c r="C395" s="14" t="n">
        <x:v>518</x:v>
      </x:c>
      <x:c r="D395" s="14" t="n">
        <x:v>4180</x:v>
      </x:c>
      <x:c r="E395" s="14" t="n">
        <x:v>3600</x:v>
      </x:c>
      <x:c r="F395" s="14" t="n">
        <x:v>659</x:v>
      </x:c>
      <x:c r="G395" s="14" t="n">
        <x:v>122</x:v>
      </x:c>
      <x:c r="H395" s="14" t="n">
        <x:v>654</x:v>
      </x:c>
    </x:row>
    <x:row r="396">
      <x:c r="A396" s="14" t="n">
        <x:v>1</x:v>
      </x:c>
      <x:c r="B396" s="14" t="n">
        <x:v>3</x:v>
      </x:c>
      <x:c r="C396" s="14" t="n">
        <x:v>23632</x:v>
      </x:c>
      <x:c r="D396" s="14" t="n">
        <x:v>6730</x:v>
      </x:c>
      <x:c r="E396" s="14" t="n">
        <x:v>3842</x:v>
      </x:c>
      <x:c r="F396" s="14" t="n">
        <x:v>8620</x:v>
      </x:c>
      <x:c r="G396" s="14" t="n">
        <x:v>385</x:v>
      </x:c>
      <x:c r="H396" s="14" t="n">
        <x:v>819</x:v>
      </x:c>
    </x:row>
    <x:row r="397">
      <x:c r="A397" s="14" t="n">
        <x:v>1</x:v>
      </x:c>
      <x:c r="B397" s="14" t="n">
        <x:v>3</x:v>
      </x:c>
      <x:c r="C397" s="14" t="n">
        <x:v>12377</x:v>
      </x:c>
      <x:c r="D397" s="14" t="n">
        <x:v>865</x:v>
      </x:c>
      <x:c r="E397" s="14" t="n">
        <x:v>3204</x:v>
      </x:c>
      <x:c r="F397" s="14" t="n">
        <x:v>1398</x:v>
      </x:c>
      <x:c r="G397" s="14" t="n">
        <x:v>149</x:v>
      </x:c>
      <x:c r="H397" s="14" t="n">
        <x:v>452</x:v>
      </x:c>
    </x:row>
    <x:row r="398">
      <x:c r="A398" s="14" t="n">
        <x:v>1</x:v>
      </x:c>
      <x:c r="B398" s="14" t="n">
        <x:v>3</x:v>
      </x:c>
      <x:c r="C398" s="14" t="n">
        <x:v>9602</x:v>
      </x:c>
      <x:c r="D398" s="14" t="n">
        <x:v>1316</x:v>
      </x:c>
      <x:c r="E398" s="14" t="n">
        <x:v>1263</x:v>
      </x:c>
      <x:c r="F398" s="14" t="n">
        <x:v>2921</x:v>
      </x:c>
      <x:c r="G398" s="14" t="n">
        <x:v>841</x:v>
      </x:c>
      <x:c r="H398" s="14" t="n">
        <x:v>290</x:v>
      </x:c>
    </x:row>
    <x:row r="399">
      <x:c r="A399" s="14" t="n">
        <x:v>2</x:v>
      </x:c>
      <x:c r="B399" s="14" t="n">
        <x:v>3</x:v>
      </x:c>
      <x:c r="C399" s="14" t="n">
        <x:v>4515</x:v>
      </x:c>
      <x:c r="D399" s="14" t="n">
        <x:v>11991</x:v>
      </x:c>
      <x:c r="E399" s="14" t="n">
        <x:v>9345</x:v>
      </x:c>
      <x:c r="F399" s="14" t="n">
        <x:v>2644</x:v>
      </x:c>
      <x:c r="G399" s="14" t="n">
        <x:v>3378</x:v>
      </x:c>
      <x:c r="H399" s="14" t="n">
        <x:v>2213</x:v>
      </x:c>
    </x:row>
    <x:row r="400">
      <x:c r="A400" s="14" t="n">
        <x:v>1</x:v>
      </x:c>
      <x:c r="B400" s="14" t="n">
        <x:v>3</x:v>
      </x:c>
      <x:c r="C400" s="14" t="n">
        <x:v>11535</x:v>
      </x:c>
      <x:c r="D400" s="14" t="n">
        <x:v>1666</x:v>
      </x:c>
      <x:c r="E400" s="14" t="n">
        <x:v>1428</x:v>
      </x:c>
      <x:c r="F400" s="14" t="n">
        <x:v>6838</x:v>
      </x:c>
      <x:c r="G400" s="14" t="n">
        <x:v>64</x:v>
      </x:c>
      <x:c r="H400" s="14" t="n">
        <x:v>743</x:v>
      </x:c>
    </x:row>
    <x:row r="401">
      <x:c r="A401" s="14" t="n">
        <x:v>1</x:v>
      </x:c>
      <x:c r="B401" s="14" t="n">
        <x:v>3</x:v>
      </x:c>
      <x:c r="C401" s="14" t="n">
        <x:v>11442</x:v>
      </x:c>
      <x:c r="D401" s="14" t="n">
        <x:v>1032</x:v>
      </x:c>
      <x:c r="E401" s="14" t="n">
        <x:v>582</x:v>
      </x:c>
      <x:c r="F401" s="14" t="n">
        <x:v>5390</x:v>
      </x:c>
      <x:c r="G401" s="14" t="n">
        <x:v>74</x:v>
      </x:c>
      <x:c r="H401" s="14" t="n">
        <x:v>247</x:v>
      </x:c>
    </x:row>
    <x:row r="402">
      <x:c r="A402" s="14" t="n">
        <x:v>1</x:v>
      </x:c>
      <x:c r="B402" s="14" t="n">
        <x:v>3</x:v>
      </x:c>
      <x:c r="C402" s="14" t="n">
        <x:v>9612</x:v>
      </x:c>
      <x:c r="D402" s="14" t="n">
        <x:v>577</x:v>
      </x:c>
      <x:c r="E402" s="14" t="n">
        <x:v>935</x:v>
      </x:c>
      <x:c r="F402" s="14" t="n">
        <x:v>1601</x:v>
      </x:c>
      <x:c r="G402" s="14" t="n">
        <x:v>469</x:v>
      </x:c>
      <x:c r="H402" s="14" t="n">
        <x:v>375</x:v>
      </x:c>
    </x:row>
    <x:row r="403">
      <x:c r="A403" s="14" t="n">
        <x:v>1</x:v>
      </x:c>
      <x:c r="B403" s="14" t="n">
        <x:v>3</x:v>
      </x:c>
      <x:c r="C403" s="14" t="n">
        <x:v>4446</x:v>
      </x:c>
      <x:c r="D403" s="14" t="n">
        <x:v>906</x:v>
      </x:c>
      <x:c r="E403" s="14" t="n">
        <x:v>1238</x:v>
      </x:c>
      <x:c r="F403" s="14" t="n">
        <x:v>3576</x:v>
      </x:c>
      <x:c r="G403" s="14" t="n">
        <x:v>153</x:v>
      </x:c>
      <x:c r="H403" s="14" t="n">
        <x:v>1014</x:v>
      </x:c>
    </x:row>
    <x:row r="404">
      <x:c r="A404" s="14" t="n">
        <x:v>1</x:v>
      </x:c>
      <x:c r="B404" s="14" t="n">
        <x:v>3</x:v>
      </x:c>
      <x:c r="C404" s="14" t="n">
        <x:v>27167</x:v>
      </x:c>
      <x:c r="D404" s="14" t="n">
        <x:v>2801</x:v>
      </x:c>
      <x:c r="E404" s="14" t="n">
        <x:v>2128</x:v>
      </x:c>
      <x:c r="F404" s="14" t="n">
        <x:v>13223</x:v>
      </x:c>
      <x:c r="G404" s="14" t="n">
        <x:v>92</x:v>
      </x:c>
      <x:c r="H404" s="14" t="n">
        <x:v>1902</x:v>
      </x:c>
    </x:row>
    <x:row r="405">
      <x:c r="A405" s="14" t="n">
        <x:v>1</x:v>
      </x:c>
      <x:c r="B405" s="14" t="n">
        <x:v>3</x:v>
      </x:c>
      <x:c r="C405" s="14" t="n">
        <x:v>26539</x:v>
      </x:c>
      <x:c r="D405" s="14" t="n">
        <x:v>4753</x:v>
      </x:c>
      <x:c r="E405" s="14" t="n">
        <x:v>5091</x:v>
      </x:c>
      <x:c r="F405" s="14" t="n">
        <x:v>220</x:v>
      </x:c>
      <x:c r="G405" s="14" t="n">
        <x:v>10</x:v>
      </x:c>
      <x:c r="H405" s="14" t="n">
        <x:v>340</x:v>
      </x:c>
    </x:row>
    <x:row r="406">
      <x:c r="A406" s="14" t="n">
        <x:v>1</x:v>
      </x:c>
      <x:c r="B406" s="14" t="n">
        <x:v>3</x:v>
      </x:c>
      <x:c r="C406" s="14" t="n">
        <x:v>25606</x:v>
      </x:c>
      <x:c r="D406" s="14" t="n">
        <x:v>11006</x:v>
      </x:c>
      <x:c r="E406" s="14" t="n">
        <x:v>4604</x:v>
      </x:c>
      <x:c r="F406" s="14" t="n">
        <x:v>127</x:v>
      </x:c>
      <x:c r="G406" s="14" t="n">
        <x:v>632</x:v>
      </x:c>
      <x:c r="H406" s="14" t="n">
        <x:v>288</x:v>
      </x:c>
    </x:row>
    <x:row r="407">
      <x:c r="A407" s="14" t="n">
        <x:v>1</x:v>
      </x:c>
      <x:c r="B407" s="14" t="n">
        <x:v>3</x:v>
      </x:c>
      <x:c r="C407" s="14" t="n">
        <x:v>18073</x:v>
      </x:c>
      <x:c r="D407" s="14" t="n">
        <x:v>4613</x:v>
      </x:c>
      <x:c r="E407" s="14" t="n">
        <x:v>3444</x:v>
      </x:c>
      <x:c r="F407" s="14" t="n">
        <x:v>4324</x:v>
      </x:c>
      <x:c r="G407" s="14" t="n">
        <x:v>914</x:v>
      </x:c>
      <x:c r="H407" s="14" t="n">
        <x:v>715</x:v>
      </x:c>
    </x:row>
    <x:row r="408">
      <x:c r="A408" s="14" t="n">
        <x:v>1</x:v>
      </x:c>
      <x:c r="B408" s="14" t="n">
        <x:v>3</x:v>
      </x:c>
      <x:c r="C408" s="14" t="n">
        <x:v>6884</x:v>
      </x:c>
      <x:c r="D408" s="14" t="n">
        <x:v>1046</x:v>
      </x:c>
      <x:c r="E408" s="14" t="n">
        <x:v>1167</x:v>
      </x:c>
      <x:c r="F408" s="14" t="n">
        <x:v>2069</x:v>
      </x:c>
      <x:c r="G408" s="14" t="n">
        <x:v>593</x:v>
      </x:c>
      <x:c r="H408" s="14" t="n">
        <x:v>378</x:v>
      </x:c>
    </x:row>
    <x:row r="409">
      <x:c r="A409" s="14" t="n">
        <x:v>1</x:v>
      </x:c>
      <x:c r="B409" s="14" t="n">
        <x:v>3</x:v>
      </x:c>
      <x:c r="C409" s="14" t="n">
        <x:v>25066</x:v>
      </x:c>
      <x:c r="D409" s="14" t="n">
        <x:v>5010</x:v>
      </x:c>
      <x:c r="E409" s="14" t="n">
        <x:v>5026</x:v>
      </x:c>
      <x:c r="F409" s="14" t="n">
        <x:v>9806</x:v>
      </x:c>
      <x:c r="G409" s="14" t="n">
        <x:v>1092</x:v>
      </x:c>
      <x:c r="H409" s="14" t="n">
        <x:v>960</x:v>
      </x:c>
    </x:row>
    <x:row r="410">
      <x:c r="A410" s="14" t="n">
        <x:v>2</x:v>
      </x:c>
      <x:c r="B410" s="14" t="n">
        <x:v>3</x:v>
      </x:c>
      <x:c r="C410" s="14" t="n">
        <x:v>7362</x:v>
      </x:c>
      <x:c r="D410" s="14" t="n">
        <x:v>12844</x:v>
      </x:c>
      <x:c r="E410" s="14" t="n">
        <x:v>18683</x:v>
      </x:c>
      <x:c r="F410" s="14" t="n">
        <x:v>2854</x:v>
      </x:c>
      <x:c r="G410" s="14" t="n">
        <x:v>7883</x:v>
      </x:c>
      <x:c r="H410" s="14" t="n">
        <x:v>553</x:v>
      </x:c>
    </x:row>
    <x:row r="411">
      <x:c r="A411" s="14" t="n">
        <x:v>2</x:v>
      </x:c>
      <x:c r="B411" s="14" t="n">
        <x:v>3</x:v>
      </x:c>
      <x:c r="C411" s="14" t="n">
        <x:v>8257</x:v>
      </x:c>
      <x:c r="D411" s="14" t="n">
        <x:v>3880</x:v>
      </x:c>
      <x:c r="E411" s="14" t="n">
        <x:v>6407</x:v>
      </x:c>
      <x:c r="F411" s="14" t="n">
        <x:v>1646</x:v>
      </x:c>
      <x:c r="G411" s="14" t="n">
        <x:v>2730</x:v>
      </x:c>
      <x:c r="H411" s="14" t="n">
        <x:v>344</x:v>
      </x:c>
    </x:row>
    <x:row r="412">
      <x:c r="A412" s="14" t="n">
        <x:v>1</x:v>
      </x:c>
      <x:c r="B412" s="14" t="n">
        <x:v>3</x:v>
      </x:c>
      <x:c r="C412" s="14" t="n">
        <x:v>8708</x:v>
      </x:c>
      <x:c r="D412" s="14" t="n">
        <x:v>3634</x:v>
      </x:c>
      <x:c r="E412" s="14" t="n">
        <x:v>6100</x:v>
      </x:c>
      <x:c r="F412" s="14" t="n">
        <x:v>2349</x:v>
      </x:c>
      <x:c r="G412" s="14" t="n">
        <x:v>2123</x:v>
      </x:c>
      <x:c r="H412" s="14" t="n">
        <x:v>5137</x:v>
      </x:c>
    </x:row>
    <x:row r="413">
      <x:c r="A413" s="14" t="n">
        <x:v>1</x:v>
      </x:c>
      <x:c r="B413" s="14" t="n">
        <x:v>3</x:v>
      </x:c>
      <x:c r="C413" s="14" t="n">
        <x:v>6633</x:v>
      </x:c>
      <x:c r="D413" s="14" t="n">
        <x:v>2096</x:v>
      </x:c>
      <x:c r="E413" s="14" t="n">
        <x:v>4563</x:v>
      </x:c>
      <x:c r="F413" s="14" t="n">
        <x:v>1389</x:v>
      </x:c>
      <x:c r="G413" s="14" t="n">
        <x:v>1860</x:v>
      </x:c>
      <x:c r="H413" s="14" t="n">
        <x:v>1892</x:v>
      </x:c>
    </x:row>
    <x:row r="414">
      <x:c r="A414" s="14" t="n">
        <x:v>1</x:v>
      </x:c>
      <x:c r="B414" s="14" t="n">
        <x:v>3</x:v>
      </x:c>
      <x:c r="C414" s="14" t="n">
        <x:v>2126</x:v>
      </x:c>
      <x:c r="D414" s="14" t="n">
        <x:v>3289</x:v>
      </x:c>
      <x:c r="E414" s="14" t="n">
        <x:v>3281</x:v>
      </x:c>
      <x:c r="F414" s="14" t="n">
        <x:v>1535</x:v>
      </x:c>
      <x:c r="G414" s="14" t="n">
        <x:v>235</x:v>
      </x:c>
      <x:c r="H414" s="14" t="n">
        <x:v>4365</x:v>
      </x:c>
    </x:row>
    <x:row r="415">
      <x:c r="A415" s="14" t="n">
        <x:v>1</x:v>
      </x:c>
      <x:c r="B415" s="14" t="n">
        <x:v>3</x:v>
      </x:c>
      <x:c r="C415" s="14" t="n">
        <x:v>97</x:v>
      </x:c>
      <x:c r="D415" s="14" t="n">
        <x:v>3605</x:v>
      </x:c>
      <x:c r="E415" s="14" t="n">
        <x:v>12400</x:v>
      </x:c>
      <x:c r="F415" s="14" t="n">
        <x:v>98</x:v>
      </x:c>
      <x:c r="G415" s="14" t="n">
        <x:v>2970</x:v>
      </x:c>
      <x:c r="H415" s="14" t="n">
        <x:v>62</x:v>
      </x:c>
    </x:row>
    <x:row r="416">
      <x:c r="A416" s="14" t="n">
        <x:v>1</x:v>
      </x:c>
      <x:c r="B416" s="14" t="n">
        <x:v>3</x:v>
      </x:c>
      <x:c r="C416" s="14" t="n">
        <x:v>4983</x:v>
      </x:c>
      <x:c r="D416" s="14" t="n">
        <x:v>4859</x:v>
      </x:c>
      <x:c r="E416" s="14" t="n">
        <x:v>6633</x:v>
      </x:c>
      <x:c r="F416" s="14" t="n">
        <x:v>17866</x:v>
      </x:c>
      <x:c r="G416" s="14" t="n">
        <x:v>912</x:v>
      </x:c>
      <x:c r="H416" s="14" t="n">
        <x:v>2435</x:v>
      </x:c>
    </x:row>
    <x:row r="417">
      <x:c r="A417" s="14" t="n">
        <x:v>1</x:v>
      </x:c>
      <x:c r="B417" s="14" t="n">
        <x:v>3</x:v>
      </x:c>
      <x:c r="C417" s="14" t="n">
        <x:v>5969</x:v>
      </x:c>
      <x:c r="D417" s="14" t="n">
        <x:v>1990</x:v>
      </x:c>
      <x:c r="E417" s="14" t="n">
        <x:v>3417</x:v>
      </x:c>
      <x:c r="F417" s="14" t="n">
        <x:v>5679</x:v>
      </x:c>
      <x:c r="G417" s="14" t="n">
        <x:v>1135</x:v>
      </x:c>
      <x:c r="H417" s="14" t="n">
        <x:v>290</x:v>
      </x:c>
    </x:row>
    <x:row r="418">
      <x:c r="A418" s="14" t="n">
        <x:v>2</x:v>
      </x:c>
      <x:c r="B418" s="14" t="n">
        <x:v>3</x:v>
      </x:c>
      <x:c r="C418" s="14" t="n">
        <x:v>7842</x:v>
      </x:c>
      <x:c r="D418" s="14" t="n">
        <x:v>6046</x:v>
      </x:c>
      <x:c r="E418" s="14" t="n">
        <x:v>8552</x:v>
      </x:c>
      <x:c r="F418" s="14" t="n">
        <x:v>1691</x:v>
      </x:c>
      <x:c r="G418" s="14" t="n">
        <x:v>3540</x:v>
      </x:c>
      <x:c r="H418" s="14" t="n">
        <x:v>1874</x:v>
      </x:c>
    </x:row>
    <x:row r="419">
      <x:c r="A419" s="14" t="n">
        <x:v>2</x:v>
      </x:c>
      <x:c r="B419" s="14" t="n">
        <x:v>3</x:v>
      </x:c>
      <x:c r="C419" s="14" t="n">
        <x:v>4389</x:v>
      </x:c>
      <x:c r="D419" s="14" t="n">
        <x:v>10940</x:v>
      </x:c>
      <x:c r="E419" s="14" t="n">
        <x:v>10908</x:v>
      </x:c>
      <x:c r="F419" s="14" t="n">
        <x:v>848</x:v>
      </x:c>
      <x:c r="G419" s="14" t="n">
        <x:v>6728</x:v>
      </x:c>
      <x:c r="H419" s="14" t="n">
        <x:v>993</x:v>
      </x:c>
    </x:row>
    <x:row r="420">
      <x:c r="A420" s="14" t="n">
        <x:v>1</x:v>
      </x:c>
      <x:c r="B420" s="14" t="n">
        <x:v>3</x:v>
      </x:c>
      <x:c r="C420" s="14" t="n">
        <x:v>5065</x:v>
      </x:c>
      <x:c r="D420" s="14" t="n">
        <x:v>5499</x:v>
      </x:c>
      <x:c r="E420" s="14" t="n">
        <x:v>11055</x:v>
      </x:c>
      <x:c r="F420" s="14" t="n">
        <x:v>364</x:v>
      </x:c>
      <x:c r="G420" s="14" t="n">
        <x:v>3485</x:v>
      </x:c>
      <x:c r="H420" s="14" t="n">
        <x:v>1063</x:v>
      </x:c>
    </x:row>
    <x:row r="421">
      <x:c r="A421" s="14" t="n">
        <x:v>2</x:v>
      </x:c>
      <x:c r="B421" s="14" t="n">
        <x:v>3</x:v>
      </x:c>
      <x:c r="C421" s="14" t="n">
        <x:v>660</x:v>
      </x:c>
      <x:c r="D421" s="14" t="n">
        <x:v>8494</x:v>
      </x:c>
      <x:c r="E421" s="14" t="n">
        <x:v>18622</x:v>
      </x:c>
      <x:c r="F421" s="14" t="n">
        <x:v>133</x:v>
      </x:c>
      <x:c r="G421" s="14" t="n">
        <x:v>6740</x:v>
      </x:c>
      <x:c r="H421" s="14" t="n">
        <x:v>776</x:v>
      </x:c>
    </x:row>
    <x:row r="422">
      <x:c r="A422" s="14" t="n">
        <x:v>1</x:v>
      </x:c>
      <x:c r="B422" s="14" t="n">
        <x:v>3</x:v>
      </x:c>
      <x:c r="C422" s="14" t="n">
        <x:v>8861</x:v>
      </x:c>
      <x:c r="D422" s="14" t="n">
        <x:v>3783</x:v>
      </x:c>
      <x:c r="E422" s="14" t="n">
        <x:v>2223</x:v>
      </x:c>
      <x:c r="F422" s="14" t="n">
        <x:v>633</x:v>
      </x:c>
      <x:c r="G422" s="14" t="n">
        <x:v>1580</x:v>
      </x:c>
      <x:c r="H422" s="14" t="n">
        <x:v>1521</x:v>
      </x:c>
    </x:row>
    <x:row r="423">
      <x:c r="A423" s="14" t="n">
        <x:v>1</x:v>
      </x:c>
      <x:c r="B423" s="14" t="n">
        <x:v>3</x:v>
      </x:c>
      <x:c r="C423" s="14" t="n">
        <x:v>4456</x:v>
      </x:c>
      <x:c r="D423" s="14" t="n">
        <x:v>5266</x:v>
      </x:c>
      <x:c r="E423" s="14" t="n">
        <x:v>13227</x:v>
      </x:c>
      <x:c r="F423" s="14" t="n">
        <x:v>25</x:v>
      </x:c>
      <x:c r="G423" s="14" t="n">
        <x:v>6818</x:v>
      </x:c>
      <x:c r="H423" s="14" t="n">
        <x:v>1393</x:v>
      </x:c>
    </x:row>
    <x:row r="424">
      <x:c r="A424" s="14" t="n">
        <x:v>2</x:v>
      </x:c>
      <x:c r="B424" s="14" t="n">
        <x:v>3</x:v>
      </x:c>
      <x:c r="C424" s="14" t="n">
        <x:v>17063</x:v>
      </x:c>
      <x:c r="D424" s="14" t="n">
        <x:v>4847</x:v>
      </x:c>
      <x:c r="E424" s="14" t="n">
        <x:v>9053</x:v>
      </x:c>
      <x:c r="F424" s="14" t="n">
        <x:v>1031</x:v>
      </x:c>
      <x:c r="G424" s="14" t="n">
        <x:v>3415</x:v>
      </x:c>
      <x:c r="H424" s="14" t="n">
        <x:v>1784</x:v>
      </x:c>
    </x:row>
    <x:row r="425">
      <x:c r="A425" s="14" t="n">
        <x:v>1</x:v>
      </x:c>
      <x:c r="B425" s="14" t="n">
        <x:v>3</x:v>
      </x:c>
      <x:c r="C425" s="14" t="n">
        <x:v>26400</x:v>
      </x:c>
      <x:c r="D425" s="14" t="n">
        <x:v>1377</x:v>
      </x:c>
      <x:c r="E425" s="14" t="n">
        <x:v>4172</x:v>
      </x:c>
      <x:c r="F425" s="14" t="n">
        <x:v>830</x:v>
      </x:c>
      <x:c r="G425" s="14" t="n">
        <x:v>948</x:v>
      </x:c>
      <x:c r="H425" s="14" t="n">
        <x:v>1218</x:v>
      </x:c>
    </x:row>
    <x:row r="426">
      <x:c r="A426" s="14" t="n">
        <x:v>2</x:v>
      </x:c>
      <x:c r="B426" s="14" t="n">
        <x:v>3</x:v>
      </x:c>
      <x:c r="C426" s="14" t="n">
        <x:v>17565</x:v>
      </x:c>
      <x:c r="D426" s="14" t="n">
        <x:v>3686</x:v>
      </x:c>
      <x:c r="E426" s="14" t="n">
        <x:v>4657</x:v>
      </x:c>
      <x:c r="F426" s="14" t="n">
        <x:v>1059</x:v>
      </x:c>
      <x:c r="G426" s="14" t="n">
        <x:v>1803</x:v>
      </x:c>
      <x:c r="H426" s="14" t="n">
        <x:v>668</x:v>
      </x:c>
    </x:row>
    <x:row r="427">
      <x:c r="A427" s="14" t="n">
        <x:v>2</x:v>
      </x:c>
      <x:c r="B427" s="14" t="n">
        <x:v>3</x:v>
      </x:c>
      <x:c r="C427" s="14" t="n">
        <x:v>16980</x:v>
      </x:c>
      <x:c r="D427" s="14" t="n">
        <x:v>2884</x:v>
      </x:c>
      <x:c r="E427" s="14" t="n">
        <x:v>12232</x:v>
      </x:c>
      <x:c r="F427" s="14" t="n">
        <x:v>874</x:v>
      </x:c>
      <x:c r="G427" s="14" t="n">
        <x:v>3213</x:v>
      </x:c>
      <x:c r="H427" s="14" t="n">
        <x:v>249</x:v>
      </x:c>
    </x:row>
    <x:row r="428">
      <x:c r="A428" s="14" t="n">
        <x:v>1</x:v>
      </x:c>
      <x:c r="B428" s="14" t="n">
        <x:v>3</x:v>
      </x:c>
      <x:c r="C428" s="14" t="n">
        <x:v>11243</x:v>
      </x:c>
      <x:c r="D428" s="14" t="n">
        <x:v>2408</x:v>
      </x:c>
      <x:c r="E428" s="14" t="n">
        <x:v>2593</x:v>
      </x:c>
      <x:c r="F428" s="14" t="n">
        <x:v>15348</x:v>
      </x:c>
      <x:c r="G428" s="14" t="n">
        <x:v>108</x:v>
      </x:c>
      <x:c r="H428" s="14" t="n">
        <x:v>1886</x:v>
      </x:c>
    </x:row>
    <x:row r="429">
      <x:c r="A429" s="14" t="n">
        <x:v>1</x:v>
      </x:c>
      <x:c r="B429" s="14" t="n">
        <x:v>3</x:v>
      </x:c>
      <x:c r="C429" s="14" t="n">
        <x:v>13134</x:v>
      </x:c>
      <x:c r="D429" s="14" t="n">
        <x:v>9347</x:v>
      </x:c>
      <x:c r="E429" s="14" t="n">
        <x:v>14316</x:v>
      </x:c>
      <x:c r="F429" s="14" t="n">
        <x:v>3141</x:v>
      </x:c>
      <x:c r="G429" s="14" t="n">
        <x:v>5079</x:v>
      </x:c>
      <x:c r="H429" s="14" t="n">
        <x:v>1894</x:v>
      </x:c>
    </x:row>
    <x:row r="430">
      <x:c r="A430" s="14" t="n">
        <x:v>1</x:v>
      </x:c>
      <x:c r="B430" s="14" t="n">
        <x:v>3</x:v>
      </x:c>
      <x:c r="C430" s="14" t="n">
        <x:v>31012</x:v>
      </x:c>
      <x:c r="D430" s="14" t="n">
        <x:v>16687</x:v>
      </x:c>
      <x:c r="E430" s="14" t="n">
        <x:v>5429</x:v>
      </x:c>
      <x:c r="F430" s="14" t="n">
        <x:v>15082</x:v>
      </x:c>
      <x:c r="G430" s="14" t="n">
        <x:v>439</x:v>
      </x:c>
      <x:c r="H430" s="14" t="n">
        <x:v>1163</x:v>
      </x:c>
    </x:row>
    <x:row r="431">
      <x:c r="A431" s="14" t="n">
        <x:v>1</x:v>
      </x:c>
      <x:c r="B431" s="14" t="n">
        <x:v>3</x:v>
      </x:c>
      <x:c r="C431" s="14" t="n">
        <x:v>3047</x:v>
      </x:c>
      <x:c r="D431" s="14" t="n">
        <x:v>5970</x:v>
      </x:c>
      <x:c r="E431" s="14" t="n">
        <x:v>4910</x:v>
      </x:c>
      <x:c r="F431" s="14" t="n">
        <x:v>2198</x:v>
      </x:c>
      <x:c r="G431" s="14" t="n">
        <x:v>850</x:v>
      </x:c>
      <x:c r="H431" s="14" t="n">
        <x:v>317</x:v>
      </x:c>
    </x:row>
    <x:row r="432">
      <x:c r="A432" s="14" t="n">
        <x:v>1</x:v>
      </x:c>
      <x:c r="B432" s="14" t="n">
        <x:v>3</x:v>
      </x:c>
      <x:c r="C432" s="14" t="n">
        <x:v>8607</x:v>
      </x:c>
      <x:c r="D432" s="14" t="n">
        <x:v>1750</x:v>
      </x:c>
      <x:c r="E432" s="14" t="n">
        <x:v>3580</x:v>
      </x:c>
      <x:c r="F432" s="14" t="n">
        <x:v>47</x:v>
      </x:c>
      <x:c r="G432" s="14" t="n">
        <x:v>84</x:v>
      </x:c>
      <x:c r="H432" s="14" t="n">
        <x:v>2501</x:v>
      </x:c>
    </x:row>
    <x:row r="433">
      <x:c r="A433" s="14" t="n">
        <x:v>1</x:v>
      </x:c>
      <x:c r="B433" s="14" t="n">
        <x:v>3</x:v>
      </x:c>
      <x:c r="C433" s="14" t="n">
        <x:v>3097</x:v>
      </x:c>
      <x:c r="D433" s="14" t="n">
        <x:v>4230</x:v>
      </x:c>
      <x:c r="E433" s="14" t="n">
        <x:v>16483</x:v>
      </x:c>
      <x:c r="F433" s="14" t="n">
        <x:v>575</x:v>
      </x:c>
      <x:c r="G433" s="14" t="n">
        <x:v>241</x:v>
      </x:c>
      <x:c r="H433" s="14" t="n">
        <x:v>2080</x:v>
      </x:c>
    </x:row>
    <x:row r="434">
      <x:c r="A434" s="14" t="n">
        <x:v>1</x:v>
      </x:c>
      <x:c r="B434" s="14" t="n">
        <x:v>3</x:v>
      </x:c>
      <x:c r="C434" s="14" t="n">
        <x:v>8533</x:v>
      </x:c>
      <x:c r="D434" s="14" t="n">
        <x:v>5506</x:v>
      </x:c>
      <x:c r="E434" s="14" t="n">
        <x:v>5160</x:v>
      </x:c>
      <x:c r="F434" s="14" t="n">
        <x:v>13486</x:v>
      </x:c>
      <x:c r="G434" s="14" t="n">
        <x:v>1377</x:v>
      </x:c>
      <x:c r="H434" s="14" t="n">
        <x:v>1498</x:v>
      </x:c>
    </x:row>
    <x:row r="435">
      <x:c r="A435" s="14" t="n">
        <x:v>1</x:v>
      </x:c>
      <x:c r="B435" s="14" t="n">
        <x:v>3</x:v>
      </x:c>
      <x:c r="C435" s="14" t="n">
        <x:v>21117</x:v>
      </x:c>
      <x:c r="D435" s="14" t="n">
        <x:v>1162</x:v>
      </x:c>
      <x:c r="E435" s="14" t="n">
        <x:v>4754</x:v>
      </x:c>
      <x:c r="F435" s="14" t="n">
        <x:v>269</x:v>
      </x:c>
      <x:c r="G435" s="14" t="n">
        <x:v>1328</x:v>
      </x:c>
      <x:c r="H435" s="14" t="n">
        <x:v>395</x:v>
      </x:c>
    </x:row>
    <x:row r="436">
      <x:c r="A436" s="14" t="n">
        <x:v>1</x:v>
      </x:c>
      <x:c r="B436" s="14" t="n">
        <x:v>3</x:v>
      </x:c>
      <x:c r="C436" s="14" t="n">
        <x:v>1982</x:v>
      </x:c>
      <x:c r="D436" s="14" t="n">
        <x:v>3218</x:v>
      </x:c>
      <x:c r="E436" s="14" t="n">
        <x:v>1493</x:v>
      </x:c>
      <x:c r="F436" s="14" t="n">
        <x:v>1541</x:v>
      </x:c>
      <x:c r="G436" s="14" t="n">
        <x:v>356</x:v>
      </x:c>
      <x:c r="H436" s="14" t="n">
        <x:v>1449</x:v>
      </x:c>
    </x:row>
    <x:row r="437">
      <x:c r="A437" s="14" t="n">
        <x:v>1</x:v>
      </x:c>
      <x:c r="B437" s="14" t="n">
        <x:v>3</x:v>
      </x:c>
      <x:c r="C437" s="14" t="n">
        <x:v>16731</x:v>
      </x:c>
      <x:c r="D437" s="14" t="n">
        <x:v>3922</x:v>
      </x:c>
      <x:c r="E437" s="14" t="n">
        <x:v>7994</x:v>
      </x:c>
      <x:c r="F437" s="14" t="n">
        <x:v>688</x:v>
      </x:c>
      <x:c r="G437" s="14" t="n">
        <x:v>2371</x:v>
      </x:c>
      <x:c r="H437" s="14" t="n">
        <x:v>838</x:v>
      </x:c>
    </x:row>
    <x:row r="438">
      <x:c r="A438" s="14" t="n">
        <x:v>1</x:v>
      </x:c>
      <x:c r="B438" s="14" t="n">
        <x:v>3</x:v>
      </x:c>
      <x:c r="C438" s="14" t="n">
        <x:v>29703</x:v>
      </x:c>
      <x:c r="D438" s="14" t="n">
        <x:v>12051</x:v>
      </x:c>
      <x:c r="E438" s="14" t="n">
        <x:v>16027</x:v>
      </x:c>
      <x:c r="F438" s="14" t="n">
        <x:v>13135</x:v>
      </x:c>
      <x:c r="G438" s="14" t="n">
        <x:v>182</x:v>
      </x:c>
      <x:c r="H438" s="14" t="n">
        <x:v>2204</x:v>
      </x:c>
    </x:row>
    <x:row r="439">
      <x:c r="A439" s="14" t="n">
        <x:v>1</x:v>
      </x:c>
      <x:c r="B439" s="14" t="n">
        <x:v>3</x:v>
      </x:c>
      <x:c r="C439" s="14" t="n">
        <x:v>39228</x:v>
      </x:c>
      <x:c r="D439" s="14" t="n">
        <x:v>1431</x:v>
      </x:c>
      <x:c r="E439" s="14" t="n">
        <x:v>764</x:v>
      </x:c>
      <x:c r="F439" s="14" t="n">
        <x:v>4510</x:v>
      </x:c>
      <x:c r="G439" s="14" t="n">
        <x:v>93</x:v>
      </x:c>
      <x:c r="H439" s="14" t="n">
        <x:v>2346</x:v>
      </x:c>
    </x:row>
    <x:row r="440">
      <x:c r="A440" s="14" t="n">
        <x:v>2</x:v>
      </x:c>
      <x:c r="B440" s="14" t="n">
        <x:v>3</x:v>
      </x:c>
      <x:c r="C440" s="14" t="n">
        <x:v>14531</x:v>
      </x:c>
      <x:c r="D440" s="14" t="n">
        <x:v>15488</x:v>
      </x:c>
      <x:c r="E440" s="14" t="n">
        <x:v>30243</x:v>
      </x:c>
      <x:c r="F440" s="14" t="n">
        <x:v>437</x:v>
      </x:c>
      <x:c r="G440" s="14" t="n">
        <x:v>14841</x:v>
      </x:c>
      <x:c r="H440" s="14" t="n">
        <x:v>1867</x:v>
      </x:c>
    </x:row>
    <x:row r="441">
      <x:c r="A441" s="14" t="n">
        <x:v>1</x:v>
      </x:c>
      <x:c r="B441" s="14" t="n">
        <x:v>3</x:v>
      </x:c>
      <x:c r="C441" s="14" t="n">
        <x:v>10290</x:v>
      </x:c>
      <x:c r="D441" s="14" t="n">
        <x:v>1981</x:v>
      </x:c>
      <x:c r="E441" s="14" t="n">
        <x:v>2232</x:v>
      </x:c>
      <x:c r="F441" s="14" t="n">
        <x:v>1038</x:v>
      </x:c>
      <x:c r="G441" s="14" t="n">
        <x:v>168</x:v>
      </x:c>
      <x:c r="H441" s="14" t="n">
        <x:v>2125</x:v>
      </x:c>
    </x:row>
    <x:row r="442">
      <x:c r="A442" s="15" t="n">
        <x:v>1</x:v>
      </x:c>
      <x:c r="B442" s="15" t="n">
        <x:v>3</x:v>
      </x:c>
      <x:c r="C442" s="15" t="n">
        <x:v>2787</x:v>
      </x:c>
      <x:c r="D442" s="15" t="n">
        <x:v>1698</x:v>
      </x:c>
      <x:c r="E442" s="15" t="n">
        <x:v>2510</x:v>
      </x:c>
      <x:c r="F442" s="15" t="n">
        <x:v>65</x:v>
      </x:c>
      <x:c r="G442" s="15" t="n">
        <x:v>477</x:v>
      </x:c>
      <x:c r="H442" s="15" t="n">
        <x:v>52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c89e536406f4c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Lookups, Definitions &amp; Source Notes</x:v>
      </x:c>
      <x:c r="B1" s="3" t="str">
        <x:v>Lookups, Definitions &amp; Source Notes</x:v>
      </x:c>
      <x:c r="C1" s="3" t="str">
        <x:v>Lookups, Definitions &amp; Source Notes</x:v>
      </x:c>
      <x:c r="D1" s="3" t="str">
        <x:v>Lookups, Definitions &amp; Source Notes</x:v>
      </x:c>
      <x:c r="E1" s="3" t="str">
        <x:v>Lookups, Definitions &amp; Source Notes</x:v>
      </x:c>
      <x:c r="F1" s="3" t="str">
        <x:v>Lookups, Definitions &amp; Source Notes</x:v>
      </x:c>
    </x:row>
    <x:row r="3" ht="30" customHeight="1">
      <x:c r="A3" s="7" t="str">
        <x:v>Channel Code</x:v>
      </x:c>
      <x:c r="B3" s="7" t="str">
        <x:v>Channel Name</x:v>
      </x:c>
      <x:c r="D3" s="7" t="str">
        <x:v>Parameter</x:v>
      </x:c>
      <x:c r="E3" s="7" t="str">
        <x:v>Value</x:v>
      </x:c>
    </x:row>
    <x:row r="4">
      <x:c r="A4" s="16" t="n">
        <x:v>1</x:v>
      </x:c>
      <x:c r="B4" s="16" t="str">
        <x:v>Horeca</x:v>
      </x:c>
      <x:c r="D4" s="17" t="str">
        <x:v>Median total spend</x:v>
      </x:c>
      <x:c r="E4" s="18" t="n">
        <x:f>AVERAGE(SMALL('Clean Data'!$L$3:$L$442,COUNT('Clean Data'!$L$3:$L$442)/2),SMALL('Clean Data'!$L$3:$L$442,COUNT('Clean Data'!$L$3:$L$442)/2+1))</x:f>
        <x:v>27492</x:v>
      </x:c>
    </x:row>
    <x:row r="5">
      <x:c r="A5" s="16" t="n">
        <x:v>2</x:v>
      </x:c>
      <x:c r="B5" s="16" t="str">
        <x:v>Retail</x:v>
      </x:c>
      <x:c r="D5" s="17" t="str">
        <x:v>High-value rule</x:v>
      </x:c>
      <x:c r="E5" s="17" t="str">
        <x:v>Total spend &gt;= median</x:v>
      </x:c>
    </x:row>
    <x:row r="7" ht="30" customHeight="1">
      <x:c r="A7" s="7" t="str">
        <x:v>Region Code</x:v>
      </x:c>
      <x:c r="B7" s="7" t="str">
        <x:v>Region Name</x:v>
      </x:c>
    </x:row>
    <x:row r="8">
      <x:c r="A8" s="16" t="n">
        <x:v>1</x:v>
      </x:c>
      <x:c r="B8" s="16" t="str">
        <x:v>Lisbon</x:v>
      </x:c>
    </x:row>
    <x:row r="9">
      <x:c r="A9" s="16" t="n">
        <x:v>2</x:v>
      </x:c>
      <x:c r="B9" s="16" t="str">
        <x:v>Oporto</x:v>
      </x:c>
    </x:row>
    <x:row r="10">
      <x:c r="A10" s="16" t="n">
        <x:v>3</x:v>
      </x:c>
      <x:c r="B10" s="16" t="str">
        <x:v>Other</x:v>
      </x:c>
    </x:row>
    <x:row r="13" ht="24" customHeight="1">
      <x:c r="A13" s="24" t="str">
        <x:v>Dataset and methodology</x:v>
      </x:c>
      <x:c r="B13" s="25"/>
      <x:c r="C13" s="25"/>
      <x:c r="D13" s="25"/>
      <x:c r="E13" s="25"/>
      <x:c r="F13" s="26"/>
    </x:row>
    <x:row r="14" ht="28" customHeight="1">
      <x:c r="A14" s="30" t="str">
        <x:v>Dataset</x:v>
      </x:c>
      <x:c r="B14" s="31" t="str">
        <x:v>Wholesale customers</x:v>
      </x:c>
      <x:c r="C14" s="31" t="str"/>
      <x:c r="D14" s="31" t="str"/>
      <x:c r="E14" s="31" t="str"/>
      <x:c r="F14" s="31" t="str"/>
    </x:row>
    <x:row r="15" ht="28" customHeight="1">
      <x:c r="A15" s="32" t="str">
        <x:v>Provider</x:v>
      </x:c>
      <x:c r="B15" s="33" t="str">
        <x:v>UCI Machine Learning Repository</x:v>
      </x:c>
      <x:c r="C15" s="33" t="str"/>
      <x:c r="D15" s="33" t="str"/>
      <x:c r="E15" s="33" t="str"/>
      <x:c r="F15" s="33" t="str"/>
    </x:row>
    <x:row r="16" ht="28" customHeight="1">
      <x:c r="A16" s="32" t="str">
        <x:v>Source URL</x:v>
      </x:c>
      <x:c r="B16" s="33" t="str">
        <x:v>https://archive.ics.uci.edu/dataset/292/wholesale%2Bcustomers</x:v>
      </x:c>
      <x:c r="C16" s="33" t="str"/>
      <x:c r="D16" s="33" t="str"/>
      <x:c r="E16" s="33" t="str"/>
      <x:c r="F16" s="33" t="str"/>
    </x:row>
    <x:row r="17" ht="28" customHeight="1">
      <x:c r="A17" s="32" t="str">
        <x:v>DOI</x:v>
      </x:c>
      <x:c r="B17" s="33" t="str">
        <x:v>https://doi.org/10.24432/C5030X</x:v>
      </x:c>
      <x:c r="C17" s="33" t="str"/>
      <x:c r="D17" s="33" t="str"/>
      <x:c r="E17" s="33" t="str"/>
      <x:c r="F17" s="33" t="str"/>
    </x:row>
    <x:row r="18" ht="28" customHeight="1">
      <x:c r="A18" s="32" t="str">
        <x:v>License</x:v>
      </x:c>
      <x:c r="B18" s="33" t="str">
        <x:v>CC BY 4.0</x:v>
      </x:c>
      <x:c r="C18" s="33" t="str"/>
      <x:c r="D18" s="33" t="str"/>
      <x:c r="E18" s="33" t="str"/>
      <x:c r="F18" s="33" t="str"/>
    </x:row>
    <x:row r="19" ht="28" customHeight="1">
      <x:c r="A19" s="32" t="str">
        <x:v>Coverage</x:v>
      </x:c>
      <x:c r="B19" s="33" t="str">
        <x:v>440 clients of a wholesale distributor</x:v>
      </x:c>
      <x:c r="C19" s="33" t="str"/>
      <x:c r="D19" s="33" t="str"/>
      <x:c r="E19" s="33" t="str"/>
      <x:c r="F19" s="33" t="str"/>
    </x:row>
    <x:row r="20" ht="28" customHeight="1">
      <x:c r="A20" s="32" t="str">
        <x:v>Units</x:v>
      </x:c>
      <x:c r="B20" s="33" t="str">
        <x:v>Annual spending in monetary units (m.u.); no currency is claimed</x:v>
      </x:c>
      <x:c r="C20" s="33" t="str"/>
      <x:c r="D20" s="33" t="str"/>
      <x:c r="E20" s="33" t="str"/>
      <x:c r="F20" s="33" t="str"/>
    </x:row>
    <x:row r="21" ht="28" customHeight="1">
      <x:c r="A21" s="32" t="str">
        <x:v>Missing values</x:v>
      </x:c>
      <x:c r="B21" s="33" t="str">
        <x:v>UCI reports no missing values</x:v>
      </x:c>
      <x:c r="C21" s="33" t="str"/>
      <x:c r="D21" s="33" t="str"/>
      <x:c r="E21" s="33" t="str"/>
      <x:c r="F21" s="33" t="str"/>
    </x:row>
    <x:row r="22" ht="28" customHeight="1">
      <x:c r="A22" s="32" t="str">
        <x:v>Transformation 1</x:v>
      </x:c>
      <x:c r="B22" s="33" t="str">
        <x:v>Added customer IDs CUST-001 to CUST-440 for workbook navigation</x:v>
      </x:c>
      <x:c r="C22" s="33" t="str"/>
      <x:c r="D22" s="33" t="str"/>
      <x:c r="E22" s="33" t="str"/>
      <x:c r="F22" s="33" t="str"/>
    </x:row>
    <x:row r="23" ht="28" customHeight="1">
      <x:c r="A23" s="32" t="str">
        <x:v>Transformation 2</x:v>
      </x:c>
      <x:c r="B23" s="33" t="str">
        <x:v>Mapped channel and region codes using visible lookup tables</x:v>
      </x:c>
      <x:c r="C23" s="33" t="str"/>
      <x:c r="D23" s="33" t="str"/>
      <x:c r="E23" s="33" t="str"/>
      <x:c r="F23" s="33" t="str"/>
    </x:row>
    <x:row r="24" ht="28" customHeight="1">
      <x:c r="A24" s="32" t="str">
        <x:v>Transformation 3</x:v>
      </x:c>
      <x:c r="B24" s="33" t="str">
        <x:v>Calculated total spend, grocery share, and a median-based value band</x:v>
      </x:c>
      <x:c r="C24" s="33" t="str"/>
      <x:c r="D24" s="33" t="str"/>
      <x:c r="E24" s="33" t="str"/>
      <x:c r="F24" s="33" t="str"/>
    </x:row>
    <x:row r="25" ht="28" customHeight="1">
      <x:c r="A25" s="34" t="str">
        <x:v>Limitations</x:v>
      </x:c>
      <x:c r="B25" s="35" t="str">
        <x:v>Historical, anonymised data; insights describe this dataset only</x:v>
      </x:c>
      <x:c r="C25" s="35" t="str"/>
      <x:c r="D25" s="35" t="str"/>
      <x:c r="E25" s="35" t="str"/>
      <x:c r="F25" s="35" t="str"/>
    </x:row>
  </x:sheetData>
  <x:mergeCells>
    <x:mergeCell ref="A1:F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